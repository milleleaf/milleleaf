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7"/>
  <workbookPr filterPrivacy="1"/>
  <xr:revisionPtr revIDLastSave="0" documentId="13_ncr:1_{F48A76F3-1FEC-4CD4-9D85-2BF89FB20EBA}" xr6:coauthVersionLast="36" xr6:coauthVersionMax="47" xr10:uidLastSave="{00000000-0000-0000-0000-000000000000}"/>
  <bookViews>
    <workbookView xWindow="-110" yWindow="-110" windowWidth="30940" windowHeight="16780" xr2:uid="{00000000-000D-0000-FFFF-FFFF00000000}"/>
  </bookViews>
  <sheets>
    <sheet name="Inputs" sheetId="2" r:id="rId1"/>
    <sheet name="Results" sheetId="3" r:id="rId2"/>
    <sheet name="Notes" sheetId="4" r:id="rId3"/>
    <sheet name="Calculations" sheetId="1"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S2" i="1" l="1"/>
  <c r="G9" i="2" l="1"/>
  <c r="L11" i="2" l="1"/>
  <c r="K11" i="2"/>
  <c r="G11" i="2" l="1"/>
  <c r="F11" i="2" l="1"/>
  <c r="AD2" i="1" l="1"/>
  <c r="H11" i="2" l="1"/>
  <c r="R2" i="1" l="1"/>
  <c r="AG3" i="1" l="1"/>
  <c r="AG2" i="1"/>
  <c r="B11" i="2" l="1"/>
  <c r="D11" i="2"/>
  <c r="E11" i="2"/>
  <c r="I11" i="2"/>
  <c r="C11" i="2"/>
  <c r="B19" i="2" l="1"/>
  <c r="M51" i="1"/>
  <c r="L26" i="1"/>
  <c r="G13" i="1"/>
  <c r="H6" i="1"/>
  <c r="D14" i="3"/>
  <c r="E7" i="3"/>
  <c r="I24" i="1"/>
  <c r="L3" i="1"/>
  <c r="L51" i="1"/>
  <c r="J49" i="1"/>
  <c r="H47" i="1"/>
  <c r="M44" i="1"/>
  <c r="K42" i="1"/>
  <c r="I40" i="1"/>
  <c r="G38" i="1"/>
  <c r="L35" i="1"/>
  <c r="J33" i="1"/>
  <c r="H31" i="1"/>
  <c r="M28" i="1"/>
  <c r="G22" i="1"/>
  <c r="J17" i="1"/>
  <c r="F9" i="3"/>
  <c r="K51" i="1"/>
  <c r="I49" i="1"/>
  <c r="G47" i="1"/>
  <c r="L44" i="1"/>
  <c r="J42" i="1"/>
  <c r="H40" i="1"/>
  <c r="M37" i="1"/>
  <c r="K35" i="1"/>
  <c r="I33" i="1"/>
  <c r="G31" i="1"/>
  <c r="L28" i="1"/>
  <c r="J26" i="1"/>
  <c r="H24" i="1"/>
  <c r="M21" i="1"/>
  <c r="K19" i="1"/>
  <c r="I17" i="1"/>
  <c r="G15" i="1"/>
  <c r="L12" i="1"/>
  <c r="J10" i="1"/>
  <c r="H8" i="1"/>
  <c r="M5" i="1"/>
  <c r="K3" i="1"/>
  <c r="S2" i="1"/>
  <c r="B14" i="3"/>
  <c r="G11" i="3"/>
  <c r="E9" i="3"/>
  <c r="C7" i="3"/>
  <c r="L46" i="1"/>
  <c r="J44" i="1"/>
  <c r="H42" i="1"/>
  <c r="M39" i="1"/>
  <c r="K37" i="1"/>
  <c r="G33" i="1"/>
  <c r="J28" i="1"/>
  <c r="M23" i="1"/>
  <c r="K21" i="1"/>
  <c r="G17" i="1"/>
  <c r="J12" i="1"/>
  <c r="M7" i="1"/>
  <c r="I3" i="1"/>
  <c r="G13" i="3"/>
  <c r="H6" i="3"/>
  <c r="L39" i="1"/>
  <c r="K30" i="1"/>
  <c r="L23" i="1"/>
  <c r="K14" i="1"/>
  <c r="G10" i="1"/>
  <c r="F13" i="3"/>
  <c r="G6" i="3"/>
  <c r="J51" i="1"/>
  <c r="H49" i="1"/>
  <c r="M46" i="1"/>
  <c r="K44" i="1"/>
  <c r="I42" i="1"/>
  <c r="G40" i="1"/>
  <c r="L37" i="1"/>
  <c r="J35" i="1"/>
  <c r="H33" i="1"/>
  <c r="M30" i="1"/>
  <c r="K28" i="1"/>
  <c r="I26" i="1"/>
  <c r="G24" i="1"/>
  <c r="L21" i="1"/>
  <c r="J19" i="1"/>
  <c r="H17" i="1"/>
  <c r="M14" i="1"/>
  <c r="K12" i="1"/>
  <c r="I10" i="1"/>
  <c r="G8" i="1"/>
  <c r="L5" i="1"/>
  <c r="J3" i="1"/>
  <c r="Q2" i="1"/>
  <c r="H13" i="3"/>
  <c r="F11" i="3"/>
  <c r="D9" i="3"/>
  <c r="B7" i="3"/>
  <c r="I51" i="1"/>
  <c r="I35" i="1"/>
  <c r="L30" i="1"/>
  <c r="H26" i="1"/>
  <c r="I19" i="1"/>
  <c r="H10" i="1"/>
  <c r="K5" i="1"/>
  <c r="O2" i="1"/>
  <c r="C9" i="3"/>
  <c r="J37" i="1"/>
  <c r="I28" i="1"/>
  <c r="J21" i="1"/>
  <c r="I12" i="1"/>
  <c r="J5" i="1"/>
  <c r="M2" i="1"/>
  <c r="B9" i="3"/>
  <c r="B5" i="3"/>
  <c r="G49" i="1"/>
  <c r="L14" i="1"/>
  <c r="E11" i="3"/>
  <c r="M32" i="1"/>
  <c r="M16" i="1"/>
  <c r="H3" i="1"/>
  <c r="H51" i="1"/>
  <c r="M48" i="1"/>
  <c r="K46" i="1"/>
  <c r="I44" i="1"/>
  <c r="G42" i="1"/>
  <c r="H35" i="1"/>
  <c r="G26" i="1"/>
  <c r="H19" i="1"/>
  <c r="L7" i="1"/>
  <c r="D11" i="3"/>
  <c r="G51" i="1"/>
  <c r="L48" i="1"/>
  <c r="J46" i="1"/>
  <c r="H44" i="1"/>
  <c r="M41" i="1"/>
  <c r="K39" i="1"/>
  <c r="I37" i="1"/>
  <c r="G35" i="1"/>
  <c r="L32" i="1"/>
  <c r="J30" i="1"/>
  <c r="H28" i="1"/>
  <c r="M25" i="1"/>
  <c r="K23" i="1"/>
  <c r="I21" i="1"/>
  <c r="G19" i="1"/>
  <c r="L16" i="1"/>
  <c r="J14" i="1"/>
  <c r="H12" i="1"/>
  <c r="M9" i="1"/>
  <c r="K7" i="1"/>
  <c r="I5" i="1"/>
  <c r="G3" i="1"/>
  <c r="L2" i="1"/>
  <c r="E13" i="3"/>
  <c r="C11" i="3"/>
  <c r="H8" i="3"/>
  <c r="F6" i="3"/>
  <c r="G46" i="1"/>
  <c r="M36" i="1"/>
  <c r="G30" i="1"/>
  <c r="J25" i="1"/>
  <c r="K18" i="1"/>
  <c r="L11" i="1"/>
  <c r="M4" i="1"/>
  <c r="I2" i="1"/>
  <c r="E8" i="3"/>
  <c r="L6" i="1"/>
  <c r="F12" i="3"/>
  <c r="J45" i="1"/>
  <c r="I20" i="1"/>
  <c r="C10" i="3"/>
  <c r="L40" i="1"/>
  <c r="H20" i="1"/>
  <c r="H4" i="1"/>
  <c r="M12" i="1"/>
  <c r="D7" i="3"/>
  <c r="M50" i="1"/>
  <c r="K48" i="1"/>
  <c r="I46" i="1"/>
  <c r="G44" i="1"/>
  <c r="L41" i="1"/>
  <c r="J39" i="1"/>
  <c r="H37" i="1"/>
  <c r="M34" i="1"/>
  <c r="K32" i="1"/>
  <c r="I30" i="1"/>
  <c r="G28" i="1"/>
  <c r="L25" i="1"/>
  <c r="J23" i="1"/>
  <c r="H21" i="1"/>
  <c r="M18" i="1"/>
  <c r="K16" i="1"/>
  <c r="I14" i="1"/>
  <c r="G12" i="1"/>
  <c r="L9" i="1"/>
  <c r="J7" i="1"/>
  <c r="H5" i="1"/>
  <c r="K2" i="1"/>
  <c r="D13" i="3"/>
  <c r="B11" i="3"/>
  <c r="G8" i="3"/>
  <c r="E6" i="3"/>
  <c r="L43" i="1"/>
  <c r="H39" i="1"/>
  <c r="I32" i="1"/>
  <c r="H23" i="1"/>
  <c r="I16" i="1"/>
  <c r="J9" i="1"/>
  <c r="B13" i="3"/>
  <c r="C6" i="3"/>
  <c r="G9" i="1"/>
  <c r="H14" i="3"/>
  <c r="G5" i="3"/>
  <c r="I36" i="1"/>
  <c r="M24" i="1"/>
  <c r="J13" i="1"/>
  <c r="G14" i="3"/>
  <c r="I45" i="1"/>
  <c r="L24" i="1"/>
  <c r="G11" i="1"/>
  <c r="G7" i="3"/>
  <c r="U2" i="1"/>
  <c r="L50" i="1"/>
  <c r="J48" i="1"/>
  <c r="H46" i="1"/>
  <c r="M43" i="1"/>
  <c r="K41" i="1"/>
  <c r="I39" i="1"/>
  <c r="G37" i="1"/>
  <c r="L34" i="1"/>
  <c r="J32" i="1"/>
  <c r="H30" i="1"/>
  <c r="M27" i="1"/>
  <c r="K25" i="1"/>
  <c r="I23" i="1"/>
  <c r="G21" i="1"/>
  <c r="L18" i="1"/>
  <c r="J16" i="1"/>
  <c r="H14" i="1"/>
  <c r="M11" i="1"/>
  <c r="K9" i="1"/>
  <c r="I7" i="1"/>
  <c r="G5" i="1"/>
  <c r="AQ2" i="1"/>
  <c r="J2" i="1"/>
  <c r="C13" i="3"/>
  <c r="H10" i="3"/>
  <c r="F8" i="3"/>
  <c r="D6" i="3"/>
  <c r="I48" i="1"/>
  <c r="J41" i="1"/>
  <c r="K34" i="1"/>
  <c r="L27" i="1"/>
  <c r="M20" i="1"/>
  <c r="G14" i="1"/>
  <c r="H7" i="1"/>
  <c r="AO2" i="1"/>
  <c r="G10" i="3"/>
  <c r="J4" i="1"/>
  <c r="D10" i="3"/>
  <c r="M40" i="1"/>
  <c r="H27" i="1"/>
  <c r="G18" i="1"/>
  <c r="AC2" i="1"/>
  <c r="F5" i="3"/>
  <c r="M33" i="1"/>
  <c r="K15" i="1"/>
  <c r="AA2" i="1"/>
  <c r="K10" i="1"/>
  <c r="H11" i="3"/>
  <c r="K50" i="1"/>
  <c r="H43" i="1"/>
  <c r="K6" i="1"/>
  <c r="J22" i="1"/>
  <c r="B10" i="3"/>
  <c r="J50" i="1"/>
  <c r="H48" i="1"/>
  <c r="M45" i="1"/>
  <c r="K43" i="1"/>
  <c r="I41" i="1"/>
  <c r="G39" i="1"/>
  <c r="L36" i="1"/>
  <c r="J34" i="1"/>
  <c r="H32" i="1"/>
  <c r="M29" i="1"/>
  <c r="K27" i="1"/>
  <c r="I25" i="1"/>
  <c r="G23" i="1"/>
  <c r="L20" i="1"/>
  <c r="J18" i="1"/>
  <c r="H16" i="1"/>
  <c r="M13" i="1"/>
  <c r="K11" i="1"/>
  <c r="I9" i="1"/>
  <c r="G7" i="1"/>
  <c r="L4" i="1"/>
  <c r="AM2" i="1"/>
  <c r="H2" i="1"/>
  <c r="H12" i="3"/>
  <c r="F10" i="3"/>
  <c r="D8" i="3"/>
  <c r="B6" i="3"/>
  <c r="M47" i="1"/>
  <c r="I43" i="1"/>
  <c r="L38" i="1"/>
  <c r="H34" i="1"/>
  <c r="K29" i="1"/>
  <c r="G25" i="1"/>
  <c r="H18" i="1"/>
  <c r="M15" i="1"/>
  <c r="G34" i="1"/>
  <c r="K22" i="1"/>
  <c r="M8" i="1"/>
  <c r="H7" i="3"/>
  <c r="J38" i="1"/>
  <c r="M17" i="1"/>
  <c r="L8" i="1"/>
  <c r="E5" i="3"/>
  <c r="C14" i="3"/>
  <c r="I50" i="1"/>
  <c r="G48" i="1"/>
  <c r="L45" i="1"/>
  <c r="J43" i="1"/>
  <c r="H41" i="1"/>
  <c r="M38" i="1"/>
  <c r="K36" i="1"/>
  <c r="I34" i="1"/>
  <c r="G32" i="1"/>
  <c r="L29" i="1"/>
  <c r="J27" i="1"/>
  <c r="H25" i="1"/>
  <c r="M22" i="1"/>
  <c r="K20" i="1"/>
  <c r="I18" i="1"/>
  <c r="G16" i="1"/>
  <c r="L13" i="1"/>
  <c r="J11" i="1"/>
  <c r="H9" i="1"/>
  <c r="M6" i="1"/>
  <c r="K4" i="1"/>
  <c r="AK2" i="1"/>
  <c r="G2" i="1"/>
  <c r="G12" i="3"/>
  <c r="E10" i="3"/>
  <c r="C8" i="3"/>
  <c r="H5" i="3"/>
  <c r="H50" i="1"/>
  <c r="G41" i="1"/>
  <c r="J36" i="1"/>
  <c r="M31" i="1"/>
  <c r="I27" i="1"/>
  <c r="L22" i="1"/>
  <c r="J20" i="1"/>
  <c r="K13" i="1"/>
  <c r="I11" i="1"/>
  <c r="AI2" i="1"/>
  <c r="K38" i="1"/>
  <c r="J29" i="1"/>
  <c r="L15" i="1"/>
  <c r="E12" i="3"/>
  <c r="G43" i="1"/>
  <c r="G27" i="1"/>
  <c r="I13" i="1"/>
  <c r="D12" i="3"/>
  <c r="I8" i="1"/>
  <c r="K45" i="1"/>
  <c r="B8" i="3"/>
  <c r="I4" i="1"/>
  <c r="I29" i="1"/>
  <c r="F14" i="3"/>
  <c r="G50" i="1"/>
  <c r="L47" i="1"/>
  <c r="L31" i="1"/>
  <c r="H11" i="1"/>
  <c r="H36" i="1"/>
  <c r="J6" i="1"/>
  <c r="M49" i="1"/>
  <c r="K47" i="1"/>
  <c r="K31" i="1"/>
  <c r="L49" i="1"/>
  <c r="J47" i="1"/>
  <c r="H45" i="1"/>
  <c r="M42" i="1"/>
  <c r="K40" i="1"/>
  <c r="I38" i="1"/>
  <c r="G36" i="1"/>
  <c r="L33" i="1"/>
  <c r="J31" i="1"/>
  <c r="H29" i="1"/>
  <c r="M26" i="1"/>
  <c r="K24" i="1"/>
  <c r="I22" i="1"/>
  <c r="G20" i="1"/>
  <c r="L17" i="1"/>
  <c r="J15" i="1"/>
  <c r="H13" i="1"/>
  <c r="M10" i="1"/>
  <c r="K8" i="1"/>
  <c r="I6" i="1"/>
  <c r="G4" i="1"/>
  <c r="Y2" i="1"/>
  <c r="E14" i="3"/>
  <c r="C12" i="3"/>
  <c r="H9" i="3"/>
  <c r="F7" i="3"/>
  <c r="D5" i="3"/>
  <c r="K49" i="1"/>
  <c r="I47" i="1"/>
  <c r="G45" i="1"/>
  <c r="L42" i="1"/>
  <c r="J40" i="1"/>
  <c r="H38" i="1"/>
  <c r="M35" i="1"/>
  <c r="K33" i="1"/>
  <c r="I31" i="1"/>
  <c r="G29" i="1"/>
  <c r="J24" i="1"/>
  <c r="H22" i="1"/>
  <c r="M19" i="1"/>
  <c r="K17" i="1"/>
  <c r="I15" i="1"/>
  <c r="L10" i="1"/>
  <c r="J8" i="1"/>
  <c r="M3" i="1"/>
  <c r="W2" i="1"/>
  <c r="B12" i="3"/>
  <c r="G9" i="3"/>
  <c r="C5" i="3"/>
  <c r="K26" i="1"/>
  <c r="L19" i="1"/>
  <c r="H15" i="1"/>
  <c r="G6" i="1"/>
  <c r="AE2" i="1"/>
</calcChain>
</file>

<file path=xl/sharedStrings.xml><?xml version="1.0" encoding="utf-8"?>
<sst xmlns="http://schemas.openxmlformats.org/spreadsheetml/2006/main" count="176" uniqueCount="108">
  <si>
    <t>Cost of Capital (WACC, real)</t>
  </si>
  <si>
    <t>Other Fixed Costs (/kW-yr)</t>
  </si>
  <si>
    <t>Inputs List</t>
  </si>
  <si>
    <t>Electric Hydrogen</t>
  </si>
  <si>
    <t>Energy Futures Initiative</t>
  </si>
  <si>
    <t>Fixed O&amp;M (% CAPEX /kW-yr)</t>
  </si>
  <si>
    <t>Sum of Annual Fixed Costs (/kW-yr)</t>
  </si>
  <si>
    <t>n/a</t>
  </si>
  <si>
    <t>Tax Credit Value</t>
  </si>
  <si>
    <t>Electrolyzer Utilization Rate</t>
  </si>
  <si>
    <t>Color Key</t>
  </si>
  <si>
    <t>Known Value</t>
  </si>
  <si>
    <t>Assumed Value</t>
  </si>
  <si>
    <t>Input Field</t>
  </si>
  <si>
    <t>Output Field</t>
  </si>
  <si>
    <t>Calculated Value</t>
  </si>
  <si>
    <t>Other Field</t>
  </si>
  <si>
    <t>Study</t>
  </si>
  <si>
    <t>Description of other fixed costs</t>
  </si>
  <si>
    <t>User Inputs</t>
  </si>
  <si>
    <t>Wood Mackenzie</t>
  </si>
  <si>
    <t>Links to Public Studies</t>
  </si>
  <si>
    <t>Other Parameters</t>
  </si>
  <si>
    <t>Hydrogen Target Cost</t>
  </si>
  <si>
    <t>Target Price</t>
  </si>
  <si>
    <t>Electricity Cost and Availability Assumptions</t>
  </si>
  <si>
    <t>-</t>
  </si>
  <si>
    <t>"Gate" Cost per kg of Hydrogen (post-subsidy)</t>
  </si>
  <si>
    <t>Cost of Hydrogen From Electrolysis: Input Data</t>
  </si>
  <si>
    <t>Average Electricity Cost ($/MWh)</t>
  </si>
  <si>
    <t>Electrolyzer Utilization Rate (%)</t>
  </si>
  <si>
    <t>71-97</t>
  </si>
  <si>
    <t>Location</t>
  </si>
  <si>
    <t>Allowed Oversizing of Clean Generation?</t>
  </si>
  <si>
    <t>Allowed Sales of Excess Clean Power?</t>
  </si>
  <si>
    <t>Western US</t>
  </si>
  <si>
    <t>Yes</t>
  </si>
  <si>
    <t>Texas</t>
  </si>
  <si>
    <t>No</t>
  </si>
  <si>
    <t>Available Resources</t>
  </si>
  <si>
    <t>Regional Variation</t>
  </si>
  <si>
    <t>Wind Only</t>
  </si>
  <si>
    <t>LCOH Outputs</t>
  </si>
  <si>
    <t>Electrolysis Facility Fixed Cost Assumptions</t>
  </si>
  <si>
    <t>Electrolysis Efficiency (kWe/kgH2)</t>
  </si>
  <si>
    <t>Energy Innovation LLC</t>
  </si>
  <si>
    <t>16-27</t>
  </si>
  <si>
    <t>82-88</t>
  </si>
  <si>
    <t>Texas, Minnesota</t>
  </si>
  <si>
    <t>Wind and Solar</t>
  </si>
  <si>
    <t xml:space="preserve">Yes </t>
  </si>
  <si>
    <t>Texas, Oklahoma</t>
  </si>
  <si>
    <t>Chosen Fixed Costs:</t>
  </si>
  <si>
    <t>Rhodium Group</t>
  </si>
  <si>
    <t>46, 72</t>
  </si>
  <si>
    <t>Arizona, Texas</t>
  </si>
  <si>
    <t>Solar Only, Wind and Solar</t>
  </si>
  <si>
    <t>Solar Only, Solar and Storage</t>
  </si>
  <si>
    <t>23,  31</t>
  </si>
  <si>
    <t>26, 25</t>
  </si>
  <si>
    <t>Calculated LCOH (post-subsidy):</t>
  </si>
  <si>
    <t>Project Financial Lifetime (Years)¹</t>
  </si>
  <si>
    <t xml:space="preserve"> - Stack replacement after 10y for 30% of initial project CAPEX
- If sourcing is made through PPA, basis risk (depending on PPA contract) and retail electricity fees should be added to cost of electricity</t>
  </si>
  <si>
    <t>Solar Only, Wind Only, Wind and Solar</t>
  </si>
  <si>
    <t>30, 50, 45</t>
  </si>
  <si>
    <t>35, 56, 70</t>
  </si>
  <si>
    <t>18-24</t>
  </si>
  <si>
    <t>70-80</t>
  </si>
  <si>
    <t>24-41</t>
  </si>
  <si>
    <r>
      <rPr>
        <b/>
        <sz val="10"/>
        <color theme="1"/>
        <rFont val="Calibri"/>
        <family val="2"/>
        <scheme val="minor"/>
      </rPr>
      <t>Note:</t>
    </r>
    <r>
      <rPr>
        <sz val="10"/>
        <color theme="1"/>
        <rFont val="Calibri"/>
        <family val="2"/>
        <scheme val="minor"/>
      </rPr>
      <t xml:space="preserve"> Filled markers indicate studies that allowed both oversizing of clean generating capacity and sales of excess clean generation. Patterned markers indicate studies that allowed oversizing but not excess sales. Unfilled markers indicate studies that assumed clean generating capacity to be equal to electrolyzer capacity.</t>
    </r>
  </si>
  <si>
    <r>
      <rPr>
        <b/>
        <sz val="10"/>
        <color theme="1"/>
        <rFont val="Calibri"/>
        <family val="2"/>
        <scheme val="minor"/>
      </rPr>
      <t xml:space="preserve">Note: </t>
    </r>
    <r>
      <rPr>
        <sz val="10"/>
        <color theme="1"/>
        <rFont val="Calibri"/>
        <family val="2"/>
        <scheme val="minor"/>
      </rPr>
      <t>The below chart illustrates LCOH as a function of electrolyzer utilization rate and average electricity cost for the fixed facility cost chosen above. Markers indicating utilization and electricity cost results from each of the listed studies are also shown. Filled markers indicate studies that allowed both oversizing of clean generating capacity and sales of excess clean generation. Patterned markers indicate studies that allowed oversizing but not excess sales. Unfilled markers indicate studies that assumed clean generating capacity to be equal to electrolyzer capacity.</t>
    </r>
  </si>
  <si>
    <t xml:space="preserve">Grid interconnection cost. 
Intentionally conservative, 
using Los Angeles rates as a reference. </t>
  </si>
  <si>
    <t>Avg. Electricity Cost ($/MWh)</t>
  </si>
  <si>
    <t>Rhodium Group, Solar Only</t>
  </si>
  <si>
    <t>Princeton ZERO Lab</t>
  </si>
  <si>
    <t>34, 32</t>
  </si>
  <si>
    <r>
      <rPr>
        <b/>
        <sz val="11"/>
        <color theme="1"/>
        <rFont val="Calibri"/>
        <family val="2"/>
        <scheme val="minor"/>
      </rPr>
      <t>1.</t>
    </r>
    <r>
      <rPr>
        <sz val="11"/>
        <color theme="1"/>
        <rFont val="Calibri"/>
        <family val="2"/>
        <scheme val="minor"/>
      </rPr>
      <t xml:space="preserve"> Increased financial lifetime lowers the fixed cost portion of LCOH but also reduces the lifetime average value of the tax credit, which is only received for the first 10 years of operations. For some combinations of fixed costs and tax credit sizes, increasing financial lifetime can actually increase the final LCOH.</t>
    </r>
  </si>
  <si>
    <t>Financing and Tax Shield.³</t>
  </si>
  <si>
    <t>E3/ACORE</t>
  </si>
  <si>
    <r>
      <rPr>
        <b/>
        <sz val="11"/>
        <color theme="1"/>
        <rFont val="Calibri"/>
        <family val="2"/>
        <scheme val="minor"/>
      </rPr>
      <t>3.</t>
    </r>
    <r>
      <rPr>
        <sz val="11"/>
        <color theme="1"/>
        <rFont val="Calibri"/>
        <family val="2"/>
        <scheme val="minor"/>
      </rPr>
      <t xml:space="preserve"> The Energy Innovation LLC and Wood Mackenzie studies both include a fixed cost component for "financing and tax shield." This is ignored in this tool to allow for consistent treatment of taxes across studies using the effective tax rate value in cell B23.</t>
    </r>
  </si>
  <si>
    <t>Effective Tax Rate</t>
  </si>
  <si>
    <t>Grid interconnection cost.</t>
  </si>
  <si>
    <t>Electrolyzer Facility Cost (/kW)</t>
  </si>
  <si>
    <t>MIT Energy Initiative</t>
  </si>
  <si>
    <t>Florida, Texas</t>
  </si>
  <si>
    <t>81, 83</t>
  </si>
  <si>
    <t>Eastern US</t>
  </si>
  <si>
    <t>Princeton ZERO Lab, Wind and Solar [PNW]</t>
  </si>
  <si>
    <t>Princeton ZERO Lab, Solar and Batteries [N. CA]</t>
  </si>
  <si>
    <t>Electric Hydrogen, Wind and Solar [Avg.]</t>
  </si>
  <si>
    <t>Energy Innovation LLC, Wind and Solar [Avg.]</t>
  </si>
  <si>
    <t>Wood Mackenzie, Wind and Solar [TX]</t>
  </si>
  <si>
    <t>Wood Mackenzie, Solar Only [AZ]</t>
  </si>
  <si>
    <t>Energy Futures Initiative, Wind Only [TX]</t>
  </si>
  <si>
    <t>MIT Energy Initiative, Wind and Solar [FL]</t>
  </si>
  <si>
    <t>MIT Energy Initiative, Wind and Solar [TX]</t>
  </si>
  <si>
    <t>not enough information⁴</t>
  </si>
  <si>
    <r>
      <rPr>
        <b/>
        <sz val="11"/>
        <rFont val="Calibri"/>
        <family val="2"/>
        <scheme val="minor"/>
      </rPr>
      <t>2</t>
    </r>
    <r>
      <rPr>
        <b/>
        <sz val="11"/>
        <color theme="1"/>
        <rFont val="Calibri"/>
        <family val="2"/>
        <scheme val="minor"/>
      </rPr>
      <t>.</t>
    </r>
    <r>
      <rPr>
        <sz val="11"/>
        <color theme="1"/>
        <rFont val="Calibri"/>
        <family val="2"/>
        <scheme val="minor"/>
      </rPr>
      <t xml:space="preserve"> This comparison tool uses a simplified LCOH calculation that incorporates only the financial parameters listed in rows 4 through 9 in the Inputs tab, and an effective tax rate set in cell B23. The default tax rate is set to 0% on the assumption that until project breakeven is achieved, developers will not have tax exposure. Real project levelized costs will also depend on context-specific tax rates, depreciation schedules, government incentives such as loan guarantees and hydrogen hub grants, and other factors.</t>
    </r>
  </si>
  <si>
    <r>
      <rPr>
        <b/>
        <sz val="11"/>
        <color theme="1"/>
        <rFont val="Calibri"/>
        <family val="2"/>
        <scheme val="minor"/>
      </rPr>
      <t>4.</t>
    </r>
    <r>
      <rPr>
        <sz val="11"/>
        <color theme="1"/>
        <rFont val="Calibri"/>
        <family val="2"/>
        <scheme val="minor"/>
      </rPr>
      <t xml:space="preserve"> The E3/ACORE study does not report final electricity costs and utilization rates. It is also the only study to model electrolyzer O&amp;M costs as variable costs ($10/MWh), rather than fixed costs. We include only the report's fixed cost data, with a fixed O&amp;M rate chosen to approximate the impact of the $10/MWh variable O&amp;M cost at a 90% utilization rate.</t>
    </r>
  </si>
  <si>
    <t xml:space="preserve">  </t>
  </si>
  <si>
    <t>Clean Energy Developer 1</t>
  </si>
  <si>
    <t>Clean Energy Developer 2</t>
  </si>
  <si>
    <t>Clean Energy Developer 1, Wind and Solar [TX]</t>
  </si>
  <si>
    <t>Clean Energy Developer 2, Wind and Solar</t>
  </si>
  <si>
    <t>Clean Energy Developer 2, Wind Only</t>
  </si>
  <si>
    <t>Clean Energy Developer 2, Solar Only</t>
  </si>
  <si>
    <t>41, 27</t>
  </si>
  <si>
    <t>Cost of above-ground hydrogen storage needed to ensure a constant hydrogen delivery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</si>
</sst>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164" formatCode="_(&quot;$&quot;* #,##0_);_(&quot;$&quot;* \(#,##0\);_(&quot;$&quot;* &quot;-&quot;??_);_(@_)"/>
    <numFmt numFmtId="165" formatCode="0.0%"/>
    <numFmt numFmtId="166" formatCode="&quot;$&quot;#,##0.00"/>
    <numFmt numFmtId="167" formatCode="&quot;$&quot;#,##0.0000_);[Red]\(&quot;$&quot;#,##0.0000\)"/>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scheme val="minor"/>
    </font>
    <font>
      <sz val="11"/>
      <color rgb="FF0070C0"/>
      <name val="Calibri"/>
      <family val="2"/>
      <scheme val="minor"/>
    </font>
    <font>
      <sz val="11"/>
      <color theme="5" tint="-0.499984740745262"/>
      <name val="Calibri"/>
      <family val="2"/>
      <scheme val="minor"/>
    </font>
    <font>
      <sz val="11"/>
      <color theme="9" tint="-0.499984740745262"/>
      <name val="Calibri"/>
      <family val="2"/>
      <scheme val="minor"/>
    </font>
    <font>
      <b/>
      <sz val="11"/>
      <color theme="9" tint="-0.499984740745262"/>
      <name val="Calibri"/>
      <family val="2"/>
      <scheme val="minor"/>
    </font>
    <font>
      <u/>
      <sz val="11"/>
      <color theme="10"/>
      <name val="Calibri"/>
      <family val="2"/>
      <scheme val="minor"/>
    </font>
    <font>
      <b/>
      <sz val="12"/>
      <color theme="1"/>
      <name val="Calibri"/>
      <family val="2"/>
      <scheme val="minor"/>
    </font>
    <font>
      <b/>
      <sz val="14"/>
      <color theme="1"/>
      <name val="Calibri"/>
      <family val="2"/>
      <scheme val="minor"/>
    </font>
    <font>
      <sz val="12"/>
      <color theme="1"/>
      <name val="Calibri"/>
      <family val="2"/>
      <scheme val="minor"/>
    </font>
    <font>
      <sz val="11"/>
      <color theme="8"/>
      <name val="Calibri"/>
      <family val="2"/>
      <scheme val="minor"/>
    </font>
    <font>
      <sz val="10"/>
      <color theme="1"/>
      <name val="Calibri"/>
      <family val="2"/>
      <scheme val="minor"/>
    </font>
    <font>
      <b/>
      <sz val="10"/>
      <color theme="1"/>
      <name val="Calibri"/>
      <family val="2"/>
      <scheme val="minor"/>
    </font>
    <font>
      <b/>
      <sz val="11"/>
      <color theme="9" tint="-0.249977111117893"/>
      <name val="Calibri"/>
      <family val="2"/>
      <scheme val="minor"/>
    </font>
    <font>
      <b/>
      <sz val="11"/>
      <name val="Calibri"/>
      <family val="2"/>
      <scheme val="minor"/>
    </font>
  </fonts>
  <fills count="9">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3F5FB"/>
        <bgColor indexed="64"/>
      </patternFill>
    </fill>
    <fill>
      <patternFill patternType="solid">
        <fgColor theme="7" tint="0.79998168889431442"/>
        <bgColor indexed="64"/>
      </patternFill>
    </fill>
    <fill>
      <patternFill patternType="solid">
        <fgColor theme="0"/>
        <bgColor indexed="64"/>
      </patternFill>
    </fill>
    <fill>
      <patternFill patternType="solid">
        <fgColor theme="4" tint="0.79998168889431442"/>
        <bgColor indexed="64"/>
      </patternFill>
    </fill>
  </fills>
  <borders count="75">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thick">
        <color indexed="64"/>
      </left>
      <right style="medium">
        <color indexed="64"/>
      </right>
      <top style="thin">
        <color indexed="64"/>
      </top>
      <bottom style="medium">
        <color indexed="64"/>
      </bottom>
      <diagonal/>
    </border>
    <border>
      <left style="thick">
        <color indexed="64"/>
      </left>
      <right style="medium">
        <color indexed="64"/>
      </right>
      <top/>
      <bottom style="thin">
        <color indexed="64"/>
      </bottom>
      <diagonal/>
    </border>
    <border>
      <left style="thick">
        <color indexed="64"/>
      </left>
      <right style="medium">
        <color indexed="64"/>
      </right>
      <top style="thin">
        <color indexed="64"/>
      </top>
      <bottom style="thin">
        <color indexed="64"/>
      </bottom>
      <diagonal/>
    </border>
    <border>
      <left style="thick">
        <color indexed="64"/>
      </left>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bottom style="thick">
        <color indexed="64"/>
      </bottom>
      <diagonal/>
    </border>
    <border>
      <left style="thick">
        <color indexed="64"/>
      </left>
      <right style="medium">
        <color indexed="64"/>
      </right>
      <top/>
      <bottom style="thick">
        <color indexed="64"/>
      </bottom>
      <diagonal/>
    </border>
    <border>
      <left/>
      <right/>
      <top style="medium">
        <color indexed="64"/>
      </top>
      <bottom style="thick">
        <color indexed="64"/>
      </bottom>
      <diagonal/>
    </border>
    <border>
      <left style="medium">
        <color indexed="64"/>
      </left>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diagonal/>
    </border>
    <border>
      <left/>
      <right style="thick">
        <color indexed="64"/>
      </right>
      <top/>
      <bottom style="thin">
        <color indexed="64"/>
      </bottom>
      <diagonal/>
    </border>
    <border>
      <left style="thick">
        <color indexed="64"/>
      </left>
      <right/>
      <top style="medium">
        <color indexed="64"/>
      </top>
      <bottom style="thick">
        <color indexed="64"/>
      </bottom>
      <diagonal/>
    </border>
    <border>
      <left style="medium">
        <color indexed="64"/>
      </left>
      <right style="medium">
        <color indexed="64"/>
      </right>
      <top style="medium">
        <color indexed="64"/>
      </top>
      <bottom style="thick">
        <color indexed="64"/>
      </bottom>
      <diagonal/>
    </border>
    <border>
      <left style="thick">
        <color indexed="64"/>
      </left>
      <right style="medium">
        <color indexed="64"/>
      </right>
      <top style="medium">
        <color indexed="64"/>
      </top>
      <bottom style="thick">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ck">
        <color indexed="64"/>
      </top>
      <bottom style="thick">
        <color indexed="64"/>
      </bottom>
      <diagonal/>
    </border>
    <border>
      <left style="medium">
        <color indexed="64"/>
      </left>
      <right/>
      <top style="medium">
        <color indexed="64"/>
      </top>
      <bottom/>
      <diagonal/>
    </border>
    <border>
      <left style="thick">
        <color indexed="64"/>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medium">
        <color indexed="64"/>
      </right>
      <top style="thin">
        <color indexed="64"/>
      </top>
      <bottom style="thick">
        <color indexed="64"/>
      </bottom>
      <diagonal/>
    </border>
    <border>
      <left style="medium">
        <color indexed="64"/>
      </left>
      <right/>
      <top/>
      <bottom style="thick">
        <color indexed="64"/>
      </bottom>
      <diagonal/>
    </border>
    <border>
      <left style="medium">
        <color indexed="64"/>
      </left>
      <right style="medium">
        <color indexed="64"/>
      </right>
      <top/>
      <bottom style="thick">
        <color indexed="64"/>
      </bottom>
      <diagonal/>
    </border>
    <border>
      <left style="medium">
        <color indexed="64"/>
      </left>
      <right style="medium">
        <color indexed="64"/>
      </right>
      <top style="thick">
        <color indexed="64"/>
      </top>
      <bottom style="thin">
        <color indexed="64"/>
      </bottom>
      <diagonal/>
    </border>
    <border>
      <left/>
      <right style="medium">
        <color indexed="64"/>
      </right>
      <top/>
      <bottom style="thin">
        <color indexed="64"/>
      </bottom>
      <diagonal/>
    </border>
    <border>
      <left/>
      <right style="medium">
        <color indexed="64"/>
      </right>
      <top style="medium">
        <color indexed="64"/>
      </top>
      <bottom style="thick">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ck">
        <color indexed="64"/>
      </bottom>
      <diagonal/>
    </border>
    <border>
      <left/>
      <right style="medium">
        <color indexed="64"/>
      </right>
      <top/>
      <bottom style="medium">
        <color indexed="64"/>
      </bottom>
      <diagonal/>
    </border>
    <border>
      <left/>
      <right style="thick">
        <color indexed="64"/>
      </right>
      <top style="medium">
        <color indexed="64"/>
      </top>
      <bottom style="thick">
        <color indexed="64"/>
      </bottom>
      <diagonal/>
    </border>
    <border>
      <left/>
      <right/>
      <top style="thin">
        <color indexed="64"/>
      </top>
      <bottom style="thin">
        <color indexed="64"/>
      </bottom>
      <diagonal/>
    </border>
    <border>
      <left style="medium">
        <color indexed="64"/>
      </left>
      <right style="medium">
        <color indexed="64"/>
      </right>
      <top style="thick">
        <color indexed="64"/>
      </top>
      <bottom style="medium">
        <color indexed="64"/>
      </bottom>
      <diagonal/>
    </border>
    <border>
      <left style="thick">
        <color indexed="64"/>
      </left>
      <right style="medium">
        <color indexed="64"/>
      </right>
      <top style="medium">
        <color indexed="64"/>
      </top>
      <bottom/>
      <diagonal/>
    </border>
    <border>
      <left style="thick">
        <color indexed="64"/>
      </left>
      <right style="medium">
        <color indexed="64"/>
      </right>
      <top style="medium">
        <color indexed="64"/>
      </top>
      <bottom style="medium">
        <color indexed="64"/>
      </bottom>
      <diagonal/>
    </border>
    <border>
      <left style="thick">
        <color indexed="64"/>
      </left>
      <right/>
      <top style="thick">
        <color indexed="64"/>
      </top>
      <bottom style="medium">
        <color indexed="64"/>
      </bottom>
      <diagonal/>
    </border>
    <border>
      <left/>
      <right style="thick">
        <color indexed="64"/>
      </right>
      <top style="thick">
        <color indexed="64"/>
      </top>
      <bottom style="medium">
        <color indexed="64"/>
      </bottom>
      <diagonal/>
    </border>
    <border>
      <left/>
      <right style="thick">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ck">
        <color indexed="64"/>
      </bottom>
      <diagonal/>
    </border>
    <border>
      <left style="medium">
        <color indexed="64"/>
      </left>
      <right style="thick">
        <color indexed="64"/>
      </right>
      <top style="medium">
        <color indexed="64"/>
      </top>
      <bottom style="thick">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n">
        <color indexed="64"/>
      </bottom>
      <diagonal/>
    </border>
    <border>
      <left/>
      <right style="thick">
        <color indexed="64"/>
      </right>
      <top/>
      <bottom style="medium">
        <color indexed="64"/>
      </bottom>
      <diagonal/>
    </border>
    <border>
      <left style="medium">
        <color indexed="64"/>
      </left>
      <right style="medium">
        <color indexed="64"/>
      </right>
      <top/>
      <bottom style="medium">
        <color indexed="64"/>
      </bottom>
      <diagonal/>
    </border>
    <border>
      <left/>
      <right style="thick">
        <color indexed="64"/>
      </right>
      <top style="thin">
        <color indexed="64"/>
      </top>
      <bottom style="thick">
        <color indexed="64"/>
      </bottom>
      <diagonal/>
    </border>
    <border>
      <left style="medium">
        <color indexed="64"/>
      </left>
      <right style="medium">
        <color indexed="64"/>
      </right>
      <top style="thin">
        <color indexed="64"/>
      </top>
      <bottom style="thick">
        <color indexed="64"/>
      </bottom>
      <diagonal/>
    </border>
    <border>
      <left style="medium">
        <color indexed="64"/>
      </left>
      <right style="thick">
        <color indexed="64"/>
      </right>
      <top style="medium">
        <color indexed="64"/>
      </top>
      <bottom style="medium">
        <color indexed="64"/>
      </bottom>
      <diagonal/>
    </border>
    <border>
      <left style="medium">
        <color indexed="64"/>
      </left>
      <right style="medium">
        <color indexed="64"/>
      </right>
      <top style="thick">
        <color indexed="64"/>
      </top>
      <bottom style="thick">
        <color indexed="64"/>
      </bottom>
      <diagonal/>
    </border>
    <border>
      <left/>
      <right style="thick">
        <color indexed="64"/>
      </right>
      <top/>
      <bottom style="thick">
        <color indexed="64"/>
      </bottom>
      <diagonal/>
    </border>
    <border>
      <left style="medium">
        <color indexed="64"/>
      </left>
      <right/>
      <top style="thick">
        <color indexed="64"/>
      </top>
      <bottom style="thin">
        <color indexed="64"/>
      </bottom>
      <diagonal/>
    </border>
    <border>
      <left style="medium">
        <color indexed="64"/>
      </left>
      <right/>
      <top style="medium">
        <color indexed="64"/>
      </top>
      <bottom style="thick">
        <color indexed="64"/>
      </bottom>
      <diagonal/>
    </border>
    <border>
      <left style="medium">
        <color indexed="64"/>
      </left>
      <right/>
      <top style="thin">
        <color indexed="64"/>
      </top>
      <bottom style="thick">
        <color indexed="64"/>
      </bottom>
      <diagonal/>
    </border>
    <border>
      <left style="thin">
        <color indexed="64"/>
      </left>
      <right style="medium">
        <color indexed="64"/>
      </right>
      <top style="medium">
        <color indexed="64"/>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176">
    <xf numFmtId="0" fontId="0" fillId="0" borderId="0" xfId="0"/>
    <xf numFmtId="8" fontId="0" fillId="0" borderId="0" xfId="0" applyNumberFormat="1"/>
    <xf numFmtId="164" fontId="0" fillId="0" borderId="10" xfId="1" applyNumberFormat="1" applyFont="1" applyBorder="1"/>
    <xf numFmtId="0" fontId="3" fillId="0" borderId="0" xfId="0" applyFont="1"/>
    <xf numFmtId="0" fontId="0" fillId="0" borderId="11" xfId="0" applyBorder="1" applyAlignment="1">
      <alignment wrapText="1"/>
    </xf>
    <xf numFmtId="164" fontId="4" fillId="0" borderId="12" xfId="1" applyNumberFormat="1" applyFont="1" applyBorder="1"/>
    <xf numFmtId="0" fontId="4" fillId="0" borderId="13" xfId="0" applyFont="1" applyBorder="1"/>
    <xf numFmtId="165" fontId="4" fillId="0" borderId="13" xfId="2" applyNumberFormat="1" applyFont="1" applyBorder="1"/>
    <xf numFmtId="164" fontId="4" fillId="0" borderId="13" xfId="1" applyNumberFormat="1" applyFont="1" applyBorder="1"/>
    <xf numFmtId="0" fontId="2" fillId="5" borderId="16" xfId="0" applyFont="1" applyFill="1" applyBorder="1"/>
    <xf numFmtId="0" fontId="2" fillId="5" borderId="14" xfId="0" applyFont="1" applyFill="1" applyBorder="1"/>
    <xf numFmtId="0" fontId="2" fillId="5" borderId="15" xfId="0" applyFont="1" applyFill="1" applyBorder="1"/>
    <xf numFmtId="0" fontId="2" fillId="5" borderId="17" xfId="0" applyFont="1" applyFill="1" applyBorder="1"/>
    <xf numFmtId="0" fontId="0" fillId="5" borderId="3" xfId="0" applyFill="1" applyBorder="1"/>
    <xf numFmtId="0" fontId="2" fillId="5" borderId="23" xfId="0" applyFont="1" applyFill="1" applyBorder="1"/>
    <xf numFmtId="164" fontId="0" fillId="6" borderId="24" xfId="1" applyNumberFormat="1" applyFont="1" applyFill="1" applyBorder="1"/>
    <xf numFmtId="0" fontId="0" fillId="6" borderId="25" xfId="0" applyFill="1" applyBorder="1"/>
    <xf numFmtId="165" fontId="0" fillId="6" borderId="25" xfId="2" applyNumberFormat="1" applyFont="1" applyFill="1" applyBorder="1"/>
    <xf numFmtId="164" fontId="0" fillId="6" borderId="25" xfId="1" applyNumberFormat="1" applyFont="1" applyFill="1" applyBorder="1"/>
    <xf numFmtId="0" fontId="0" fillId="0" borderId="26" xfId="0" applyBorder="1"/>
    <xf numFmtId="44" fontId="3" fillId="0" borderId="0" xfId="1" applyFont="1"/>
    <xf numFmtId="8" fontId="7" fillId="0" borderId="20" xfId="0" applyNumberFormat="1" applyFont="1" applyBorder="1"/>
    <xf numFmtId="0" fontId="2" fillId="3" borderId="1" xfId="0" applyFont="1" applyFill="1" applyBorder="1"/>
    <xf numFmtId="0" fontId="0" fillId="3" borderId="2" xfId="0" applyFill="1" applyBorder="1"/>
    <xf numFmtId="0" fontId="2" fillId="5" borderId="28" xfId="0" applyFont="1" applyFill="1" applyBorder="1"/>
    <xf numFmtId="8" fontId="7" fillId="0" borderId="29" xfId="0" applyNumberFormat="1" applyFont="1" applyBorder="1"/>
    <xf numFmtId="8" fontId="7" fillId="0" borderId="18" xfId="0" applyNumberFormat="1" applyFont="1" applyBorder="1"/>
    <xf numFmtId="8" fontId="7" fillId="0" borderId="30" xfId="0" applyNumberFormat="1" applyFont="1" applyBorder="1"/>
    <xf numFmtId="44" fontId="0" fillId="6" borderId="4" xfId="1" applyFont="1" applyFill="1" applyBorder="1"/>
    <xf numFmtId="0" fontId="0" fillId="5" borderId="33" xfId="0" applyFill="1" applyBorder="1"/>
    <xf numFmtId="44" fontId="0" fillId="6" borderId="5" xfId="1" applyFont="1" applyFill="1" applyBorder="1"/>
    <xf numFmtId="44" fontId="0" fillId="0" borderId="0" xfId="1" applyFont="1"/>
    <xf numFmtId="0" fontId="10" fillId="2" borderId="21" xfId="0" applyFont="1" applyFill="1" applyBorder="1"/>
    <xf numFmtId="0" fontId="2" fillId="2" borderId="35" xfId="0" applyFont="1" applyFill="1" applyBorder="1"/>
    <xf numFmtId="0" fontId="11" fillId="0" borderId="0" xfId="0" applyFont="1"/>
    <xf numFmtId="9" fontId="0" fillId="7" borderId="25" xfId="2" applyFont="1" applyFill="1" applyBorder="1"/>
    <xf numFmtId="0" fontId="0" fillId="7" borderId="25" xfId="0" applyFill="1" applyBorder="1"/>
    <xf numFmtId="0" fontId="2" fillId="5" borderId="38" xfId="0" applyFont="1" applyFill="1" applyBorder="1"/>
    <xf numFmtId="0" fontId="0" fillId="7" borderId="37" xfId="0" applyFill="1" applyBorder="1"/>
    <xf numFmtId="0" fontId="9" fillId="2" borderId="21" xfId="0" applyFont="1" applyFill="1" applyBorder="1"/>
    <xf numFmtId="0" fontId="9" fillId="2" borderId="35" xfId="0" applyFont="1" applyFill="1" applyBorder="1"/>
    <xf numFmtId="0" fontId="9" fillId="2" borderId="22" xfId="0" applyFont="1" applyFill="1" applyBorder="1"/>
    <xf numFmtId="0" fontId="2" fillId="2" borderId="36" xfId="0" applyFont="1" applyFill="1" applyBorder="1"/>
    <xf numFmtId="0" fontId="2" fillId="2" borderId="32" xfId="0" applyFont="1" applyFill="1" applyBorder="1"/>
    <xf numFmtId="0" fontId="2" fillId="2" borderId="22" xfId="0" applyFont="1" applyFill="1" applyBorder="1"/>
    <xf numFmtId="9" fontId="0" fillId="6" borderId="34" xfId="2" applyFont="1" applyFill="1" applyBorder="1"/>
    <xf numFmtId="0" fontId="0" fillId="0" borderId="7" xfId="0" applyBorder="1" applyAlignment="1">
      <alignment wrapText="1"/>
    </xf>
    <xf numFmtId="164" fontId="6" fillId="0" borderId="43" xfId="1" applyNumberFormat="1" applyFont="1" applyBorder="1"/>
    <xf numFmtId="0" fontId="4" fillId="0" borderId="45" xfId="0" applyFont="1" applyBorder="1"/>
    <xf numFmtId="165" fontId="4" fillId="0" borderId="45" xfId="2" applyNumberFormat="1" applyFont="1" applyBorder="1"/>
    <xf numFmtId="165" fontId="6" fillId="0" borderId="45" xfId="2" applyNumberFormat="1" applyFont="1" applyBorder="1"/>
    <xf numFmtId="164" fontId="6" fillId="0" borderId="45" xfId="1" applyNumberFormat="1" applyFont="1" applyBorder="1"/>
    <xf numFmtId="164" fontId="12" fillId="0" borderId="43" xfId="1" applyNumberFormat="1" applyFont="1" applyBorder="1"/>
    <xf numFmtId="0" fontId="12" fillId="0" borderId="43" xfId="2" applyNumberFormat="1" applyFont="1" applyBorder="1"/>
    <xf numFmtId="165" fontId="12" fillId="0" borderId="43" xfId="2" applyNumberFormat="1" applyFont="1" applyBorder="1"/>
    <xf numFmtId="164" fontId="0" fillId="0" borderId="48" xfId="1" applyNumberFormat="1" applyFont="1" applyBorder="1"/>
    <xf numFmtId="0" fontId="0" fillId="6" borderId="24" xfId="1" applyNumberFormat="1" applyFont="1" applyFill="1" applyBorder="1"/>
    <xf numFmtId="9" fontId="0" fillId="6" borderId="25" xfId="2" applyFont="1" applyFill="1" applyBorder="1"/>
    <xf numFmtId="2" fontId="0" fillId="6" borderId="25" xfId="2" applyNumberFormat="1" applyFont="1" applyFill="1" applyBorder="1"/>
    <xf numFmtId="2" fontId="4" fillId="0" borderId="13" xfId="2" applyNumberFormat="1" applyFont="1" applyBorder="1"/>
    <xf numFmtId="2" fontId="12" fillId="0" borderId="43" xfId="2" applyNumberFormat="1" applyFont="1" applyBorder="1"/>
    <xf numFmtId="0" fontId="0" fillId="5" borderId="51" xfId="0" applyFill="1" applyBorder="1"/>
    <xf numFmtId="0" fontId="2" fillId="5" borderId="52" xfId="0" applyFont="1" applyFill="1" applyBorder="1"/>
    <xf numFmtId="9" fontId="0" fillId="5" borderId="53" xfId="0" applyNumberFormat="1" applyFill="1" applyBorder="1"/>
    <xf numFmtId="9" fontId="0" fillId="5" borderId="30" xfId="0" applyNumberFormat="1" applyFill="1" applyBorder="1"/>
    <xf numFmtId="0" fontId="2" fillId="5" borderId="54" xfId="0" applyFont="1" applyFill="1" applyBorder="1"/>
    <xf numFmtId="0" fontId="0" fillId="5" borderId="55" xfId="0" applyFill="1" applyBorder="1"/>
    <xf numFmtId="44" fontId="0" fillId="0" borderId="31" xfId="1" applyFont="1" applyBorder="1"/>
    <xf numFmtId="0" fontId="2" fillId="8" borderId="0" xfId="0" applyFont="1" applyFill="1"/>
    <xf numFmtId="0" fontId="2" fillId="2" borderId="56" xfId="0" applyFont="1" applyFill="1" applyBorder="1"/>
    <xf numFmtId="0" fontId="3" fillId="0" borderId="0" xfId="1" applyNumberFormat="1" applyFont="1"/>
    <xf numFmtId="0" fontId="12" fillId="0" borderId="42" xfId="1" applyNumberFormat="1" applyFont="1" applyBorder="1" applyAlignment="1">
      <alignment horizontal="right"/>
    </xf>
    <xf numFmtId="0" fontId="12" fillId="0" borderId="9" xfId="1" applyNumberFormat="1" applyFont="1" applyBorder="1" applyAlignment="1">
      <alignment horizontal="right"/>
    </xf>
    <xf numFmtId="0" fontId="12" fillId="0" borderId="19" xfId="1" applyNumberFormat="1" applyFont="1" applyBorder="1" applyAlignment="1">
      <alignment horizontal="right"/>
    </xf>
    <xf numFmtId="0" fontId="12" fillId="0" borderId="8" xfId="1" applyNumberFormat="1" applyFont="1" applyBorder="1" applyAlignment="1">
      <alignment horizontal="right"/>
    </xf>
    <xf numFmtId="0" fontId="12" fillId="0" borderId="40" xfId="1" applyNumberFormat="1" applyFont="1" applyBorder="1" applyAlignment="1">
      <alignment horizontal="right"/>
    </xf>
    <xf numFmtId="0" fontId="12" fillId="0" borderId="41" xfId="1" applyNumberFormat="1" applyFont="1" applyBorder="1" applyAlignment="1">
      <alignment horizontal="right"/>
    </xf>
    <xf numFmtId="0" fontId="0" fillId="5" borderId="57" xfId="0" applyFill="1" applyBorder="1"/>
    <xf numFmtId="0" fontId="4" fillId="0" borderId="58" xfId="0" applyFont="1" applyBorder="1"/>
    <xf numFmtId="0" fontId="6" fillId="0" borderId="45" xfId="1" applyNumberFormat="1" applyFont="1" applyBorder="1"/>
    <xf numFmtId="0" fontId="5" fillId="0" borderId="46" xfId="2" applyNumberFormat="1" applyFont="1" applyBorder="1"/>
    <xf numFmtId="0" fontId="0" fillId="6" borderId="59" xfId="0" applyFill="1" applyBorder="1"/>
    <xf numFmtId="0" fontId="0" fillId="4" borderId="3" xfId="0" applyFill="1" applyBorder="1"/>
    <xf numFmtId="0" fontId="0" fillId="0" borderId="57" xfId="0" applyBorder="1"/>
    <xf numFmtId="164" fontId="12" fillId="0" borderId="9" xfId="1" applyNumberFormat="1" applyFont="1" applyBorder="1"/>
    <xf numFmtId="164" fontId="12" fillId="0" borderId="8" xfId="1" applyNumberFormat="1" applyFont="1" applyBorder="1"/>
    <xf numFmtId="2" fontId="12" fillId="0" borderId="9" xfId="1" applyNumberFormat="1" applyFont="1" applyBorder="1"/>
    <xf numFmtId="2" fontId="12" fillId="0" borderId="8" xfId="1" applyNumberFormat="1" applyFont="1" applyBorder="1"/>
    <xf numFmtId="0" fontId="12" fillId="0" borderId="9" xfId="1" applyNumberFormat="1" applyFont="1" applyBorder="1"/>
    <xf numFmtId="0" fontId="12" fillId="0" borderId="8" xfId="1" applyNumberFormat="1" applyFont="1" applyBorder="1"/>
    <xf numFmtId="165" fontId="12" fillId="0" borderId="9" xfId="1" applyNumberFormat="1" applyFont="1" applyBorder="1"/>
    <xf numFmtId="165" fontId="12" fillId="0" borderId="8" xfId="1" applyNumberFormat="1" applyFont="1" applyBorder="1"/>
    <xf numFmtId="0" fontId="4" fillId="0" borderId="0" xfId="0" applyFont="1" applyAlignment="1">
      <alignment horizontal="right"/>
    </xf>
    <xf numFmtId="0" fontId="12" fillId="0" borderId="0" xfId="1" applyNumberFormat="1" applyFont="1" applyBorder="1" applyAlignment="1">
      <alignment horizontal="right"/>
    </xf>
    <xf numFmtId="0" fontId="13" fillId="0" borderId="0" xfId="0" applyFont="1"/>
    <xf numFmtId="166" fontId="15" fillId="4" borderId="20" xfId="0" applyNumberFormat="1" applyFont="1" applyFill="1" applyBorder="1"/>
    <xf numFmtId="0" fontId="12" fillId="0" borderId="12" xfId="1" applyNumberFormat="1" applyFont="1" applyBorder="1" applyAlignment="1">
      <alignment horizontal="right"/>
    </xf>
    <xf numFmtId="0" fontId="12" fillId="0" borderId="43" xfId="1" applyNumberFormat="1" applyFont="1" applyBorder="1" applyAlignment="1">
      <alignment horizontal="right"/>
    </xf>
    <xf numFmtId="0" fontId="12" fillId="0" borderId="13" xfId="2" applyNumberFormat="1" applyFont="1" applyBorder="1" applyAlignment="1">
      <alignment horizontal="right"/>
    </xf>
    <xf numFmtId="0" fontId="12" fillId="0" borderId="6" xfId="2" applyNumberFormat="1" applyFont="1" applyBorder="1" applyAlignment="1">
      <alignment horizontal="right"/>
    </xf>
    <xf numFmtId="0" fontId="12" fillId="0" borderId="50" xfId="1" applyNumberFormat="1" applyFont="1" applyBorder="1" applyAlignment="1">
      <alignment horizontal="right"/>
    </xf>
    <xf numFmtId="0" fontId="12" fillId="0" borderId="13" xfId="0" applyFont="1" applyBorder="1" applyAlignment="1">
      <alignment horizontal="right"/>
    </xf>
    <xf numFmtId="0" fontId="12" fillId="0" borderId="45" xfId="0" applyFont="1" applyBorder="1" applyAlignment="1">
      <alignment horizontal="right"/>
    </xf>
    <xf numFmtId="9" fontId="12" fillId="0" borderId="13" xfId="2" applyFont="1" applyBorder="1" applyAlignment="1">
      <alignment horizontal="right"/>
    </xf>
    <xf numFmtId="0" fontId="12" fillId="0" borderId="39" xfId="0" applyFont="1" applyBorder="1" applyAlignment="1">
      <alignment horizontal="right"/>
    </xf>
    <xf numFmtId="0" fontId="12" fillId="0" borderId="47" xfId="0" applyFont="1" applyBorder="1" applyAlignment="1">
      <alignment horizontal="right"/>
    </xf>
    <xf numFmtId="0" fontId="0" fillId="0" borderId="0" xfId="0" applyAlignment="1">
      <alignment wrapText="1"/>
    </xf>
    <xf numFmtId="2" fontId="12" fillId="0" borderId="43" xfId="1" applyNumberFormat="1" applyFont="1" applyBorder="1"/>
    <xf numFmtId="0" fontId="12" fillId="0" borderId="43" xfId="1" applyNumberFormat="1" applyFont="1" applyBorder="1"/>
    <xf numFmtId="165" fontId="12" fillId="0" borderId="43" xfId="1" applyNumberFormat="1" applyFont="1" applyBorder="1"/>
    <xf numFmtId="0" fontId="0" fillId="0" borderId="48" xfId="0" applyBorder="1" applyAlignment="1">
      <alignment wrapText="1"/>
    </xf>
    <xf numFmtId="0" fontId="12" fillId="0" borderId="60" xfId="1" applyNumberFormat="1" applyFont="1" applyBorder="1" applyAlignment="1">
      <alignment horizontal="right"/>
    </xf>
    <xf numFmtId="0" fontId="4" fillId="0" borderId="0" xfId="0" applyFont="1"/>
    <xf numFmtId="0" fontId="6" fillId="0" borderId="0" xfId="1" applyNumberFormat="1" applyFont="1" applyBorder="1"/>
    <xf numFmtId="0" fontId="5" fillId="0" borderId="0" xfId="2" applyNumberFormat="1" applyFont="1" applyBorder="1"/>
    <xf numFmtId="8" fontId="12" fillId="0" borderId="43" xfId="1" applyNumberFormat="1" applyFont="1" applyBorder="1"/>
    <xf numFmtId="2" fontId="3" fillId="0" borderId="0" xfId="1" applyNumberFormat="1" applyFont="1"/>
    <xf numFmtId="8" fontId="7" fillId="0" borderId="44" xfId="0" applyNumberFormat="1" applyFont="1" applyBorder="1"/>
    <xf numFmtId="8" fontId="7" fillId="0" borderId="49" xfId="0" applyNumberFormat="1" applyFont="1" applyBorder="1"/>
    <xf numFmtId="10" fontId="0" fillId="0" borderId="0" xfId="0" applyNumberFormat="1"/>
    <xf numFmtId="0" fontId="12" fillId="0" borderId="27" xfId="2" applyNumberFormat="1" applyFont="1" applyBorder="1"/>
    <xf numFmtId="2" fontId="12" fillId="0" borderId="45" xfId="2" applyNumberFormat="1" applyFont="1" applyBorder="1"/>
    <xf numFmtId="167" fontId="0" fillId="0" borderId="0" xfId="0" applyNumberFormat="1"/>
    <xf numFmtId="2" fontId="0" fillId="0" borderId="0" xfId="2" applyNumberFormat="1" applyFont="1"/>
    <xf numFmtId="44" fontId="0" fillId="0" borderId="0" xfId="0" applyNumberFormat="1"/>
    <xf numFmtId="0" fontId="2" fillId="5" borderId="41" xfId="0" applyFont="1" applyFill="1" applyBorder="1"/>
    <xf numFmtId="0" fontId="2" fillId="5" borderId="60" xfId="0" applyFont="1" applyFill="1" applyBorder="1"/>
    <xf numFmtId="164" fontId="12" fillId="0" borderId="62" xfId="1" applyNumberFormat="1" applyFont="1" applyBorder="1"/>
    <xf numFmtId="165" fontId="12" fillId="0" borderId="27" xfId="2" applyNumberFormat="1" applyFont="1" applyBorder="1"/>
    <xf numFmtId="2" fontId="6" fillId="0" borderId="8" xfId="2" applyNumberFormat="1" applyFont="1" applyBorder="1"/>
    <xf numFmtId="0" fontId="12" fillId="0" borderId="8" xfId="2" applyNumberFormat="1" applyFont="1" applyBorder="1"/>
    <xf numFmtId="165" fontId="6" fillId="0" borderId="8" xfId="2" applyNumberFormat="1" applyFont="1" applyBorder="1"/>
    <xf numFmtId="164" fontId="0" fillId="0" borderId="65" xfId="1" applyNumberFormat="1" applyFont="1" applyBorder="1"/>
    <xf numFmtId="0" fontId="12" fillId="0" borderId="63" xfId="2" applyNumberFormat="1" applyFont="1" applyBorder="1" applyAlignment="1">
      <alignment horizontal="right"/>
    </xf>
    <xf numFmtId="0" fontId="12" fillId="0" borderId="63" xfId="0" applyFont="1" applyBorder="1" applyAlignment="1">
      <alignment horizontal="right"/>
    </xf>
    <xf numFmtId="0" fontId="12" fillId="0" borderId="66" xfId="0" applyFont="1" applyBorder="1" applyAlignment="1">
      <alignment horizontal="right"/>
    </xf>
    <xf numFmtId="0" fontId="12" fillId="0" borderId="6" xfId="0" applyFont="1" applyBorder="1" applyAlignment="1">
      <alignment horizontal="right"/>
    </xf>
    <xf numFmtId="0" fontId="12" fillId="0" borderId="67" xfId="0" applyFont="1" applyBorder="1" applyAlignment="1">
      <alignment horizontal="right"/>
    </xf>
    <xf numFmtId="44" fontId="0" fillId="0" borderId="68" xfId="1" applyFont="1" applyBorder="1"/>
    <xf numFmtId="44" fontId="0" fillId="0" borderId="29" xfId="1" applyFont="1" applyBorder="1"/>
    <xf numFmtId="44" fontId="0" fillId="0" borderId="61" xfId="1" applyFont="1" applyBorder="1"/>
    <xf numFmtId="0" fontId="2" fillId="5" borderId="70" xfId="0" applyFont="1" applyFill="1" applyBorder="1"/>
    <xf numFmtId="0" fontId="2" fillId="5" borderId="69" xfId="0" applyFont="1" applyFill="1" applyBorder="1"/>
    <xf numFmtId="164" fontId="6" fillId="0" borderId="71" xfId="1" applyNumberFormat="1" applyFont="1" applyBorder="1"/>
    <xf numFmtId="2" fontId="6" fillId="0" borderId="9" xfId="2" applyNumberFormat="1" applyFont="1" applyBorder="1"/>
    <xf numFmtId="0" fontId="12" fillId="0" borderId="9" xfId="2" applyNumberFormat="1" applyFont="1" applyBorder="1"/>
    <xf numFmtId="165" fontId="5" fillId="0" borderId="9" xfId="2" applyNumberFormat="1" applyFont="1" applyBorder="1"/>
    <xf numFmtId="165" fontId="6" fillId="0" borderId="9" xfId="2" applyNumberFormat="1" applyFont="1" applyBorder="1"/>
    <xf numFmtId="164" fontId="5" fillId="0" borderId="9" xfId="1" applyNumberFormat="1" applyFont="1" applyBorder="1"/>
    <xf numFmtId="8" fontId="7" fillId="0" borderId="72" xfId="0" applyNumberFormat="1" applyFont="1" applyBorder="1"/>
    <xf numFmtId="0" fontId="12" fillId="0" borderId="71" xfId="1" applyNumberFormat="1" applyFont="1" applyBorder="1" applyAlignment="1">
      <alignment horizontal="right"/>
    </xf>
    <xf numFmtId="0" fontId="12" fillId="0" borderId="19" xfId="2" applyNumberFormat="1" applyFont="1" applyBorder="1" applyAlignment="1">
      <alignment horizontal="right"/>
    </xf>
    <xf numFmtId="0" fontId="12" fillId="0" borderId="19" xfId="0" applyFont="1" applyBorder="1" applyAlignment="1">
      <alignment horizontal="right"/>
    </xf>
    <xf numFmtId="0" fontId="12" fillId="0" borderId="73" xfId="0" applyFont="1" applyBorder="1" applyAlignment="1">
      <alignment horizontal="right"/>
    </xf>
    <xf numFmtId="164" fontId="12" fillId="0" borderId="42" xfId="1" applyNumberFormat="1" applyFont="1" applyBorder="1"/>
    <xf numFmtId="165" fontId="12" fillId="0" borderId="8" xfId="2" applyNumberFormat="1" applyFont="1" applyBorder="1"/>
    <xf numFmtId="44" fontId="12" fillId="0" borderId="6" xfId="1" applyFont="1" applyBorder="1"/>
    <xf numFmtId="164" fontId="0" fillId="0" borderId="64" xfId="1" applyNumberFormat="1" applyFont="1" applyBorder="1" applyAlignment="1">
      <alignment wrapText="1"/>
    </xf>
    <xf numFmtId="2" fontId="12" fillId="0" borderId="27" xfId="2" applyNumberFormat="1" applyFont="1" applyBorder="1"/>
    <xf numFmtId="0" fontId="8" fillId="7" borderId="59" xfId="3" applyFill="1" applyBorder="1"/>
    <xf numFmtId="0" fontId="8" fillId="7" borderId="74" xfId="3" applyFill="1" applyBorder="1"/>
    <xf numFmtId="0" fontId="8" fillId="7" borderId="3" xfId="3" applyFill="1" applyBorder="1"/>
    <xf numFmtId="0" fontId="8" fillId="7" borderId="4" xfId="3" applyFill="1" applyBorder="1"/>
    <xf numFmtId="0" fontId="8" fillId="7" borderId="57" xfId="3" applyFill="1" applyBorder="1"/>
    <xf numFmtId="0" fontId="0" fillId="0" borderId="5" xfId="0" applyBorder="1"/>
    <xf numFmtId="0" fontId="13" fillId="0" borderId="0" xfId="0" applyFont="1" applyAlignment="1">
      <alignment wrapText="1"/>
    </xf>
    <xf numFmtId="0" fontId="10" fillId="2" borderId="21" xfId="0" applyFont="1" applyFill="1" applyBorder="1"/>
    <xf numFmtId="0" fontId="10" fillId="2" borderId="35" xfId="0" applyFont="1" applyFill="1" applyBorder="1"/>
    <xf numFmtId="0" fontId="10" fillId="2" borderId="22" xfId="0" applyFont="1" applyFill="1" applyBorder="1"/>
    <xf numFmtId="0" fontId="2" fillId="3" borderId="1" xfId="0" applyFont="1" applyFill="1" applyBorder="1"/>
    <xf numFmtId="0" fontId="2" fillId="3" borderId="2" xfId="0" applyFont="1" applyFill="1" applyBorder="1"/>
    <xf numFmtId="0" fontId="2" fillId="6" borderId="21" xfId="0" applyFont="1" applyFill="1" applyBorder="1"/>
    <xf numFmtId="0" fontId="2" fillId="6" borderId="35" xfId="0" applyFont="1" applyFill="1" applyBorder="1"/>
    <xf numFmtId="0" fontId="2" fillId="6" borderId="22" xfId="0" applyFont="1" applyFill="1" applyBorder="1"/>
    <xf numFmtId="0" fontId="12" fillId="0" borderId="62" xfId="1" applyNumberFormat="1" applyFont="1" applyBorder="1" applyAlignment="1">
      <alignment horizontal="right"/>
    </xf>
    <xf numFmtId="44" fontId="12" fillId="0" borderId="63" xfId="1" applyFont="1" applyBorder="1"/>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colors>
    <mruColors>
      <color rgb="FFFF5050"/>
      <color rgb="FF5CEA40"/>
      <color rgb="FFCC00FF"/>
      <color rgb="FFFFCCFF"/>
      <color rgb="FFF3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image" Target="../media/image2.png"/></Relationships>
</file>

<file path=xl/charts/_rels/chart3.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lumMod val="65000"/>
                    <a:lumOff val="35000"/>
                  </a:schemeClr>
                </a:solidFill>
              </a:rPr>
              <a:t>Comparison of Fixed Facility Cost Assumptions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Total Annual Fixed Cost</c:v>
          </c:tx>
          <c:spPr>
            <a:ln w="31750" cap="rnd">
              <a:noFill/>
              <a:round/>
            </a:ln>
            <a:effectLst/>
          </c:spPr>
          <c:marker>
            <c:symbol val="diamond"/>
            <c:size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noFill/>
                <a:round/>
              </a:ln>
              <a:effectLst/>
            </c:spPr>
          </c:marker>
          <c:cat>
            <c:strRef>
              <c:f>(Inputs!$F$2,Inputs!$D$2,Inputs!$J$2,Inputs!$L$2,Inputs!$H$2,Inputs!$G$2,Inputs!$E$2,Inputs!$K$2,Inputs!$C$2,Inputs!$I$2)</c:f>
              <c:strCache>
                <c:ptCount val="10"/>
                <c:pt idx="0">
                  <c:v>Clean Energy Developer 1</c:v>
                </c:pt>
                <c:pt idx="1">
                  <c:v>Electric Hydrogen</c:v>
                </c:pt>
                <c:pt idx="2">
                  <c:v>Energy Futures Initiative</c:v>
                </c:pt>
                <c:pt idx="3">
                  <c:v>MIT Energy Initiative</c:v>
                </c:pt>
                <c:pt idx="4">
                  <c:v>Rhodium Group</c:v>
                </c:pt>
                <c:pt idx="5">
                  <c:v>Clean Energy Developer 2</c:v>
                </c:pt>
                <c:pt idx="6">
                  <c:v>Energy Innovation LLC</c:v>
                </c:pt>
                <c:pt idx="7">
                  <c:v>E3/ACORE</c:v>
                </c:pt>
                <c:pt idx="8">
                  <c:v>Princeton ZERO Lab</c:v>
                </c:pt>
                <c:pt idx="9">
                  <c:v>Wood Mackenzie</c:v>
                </c:pt>
              </c:strCache>
            </c:strRef>
          </c:cat>
          <c:val>
            <c:numRef>
              <c:f>(Inputs!$F$11,Inputs!$D$11,Inputs!$J$11,Inputs!$L$11,Inputs!$H$11,Inputs!$G$11,Inputs!$E$11,Inputs!$K$11,Inputs!$C$11,Inputs!$I$11)</c:f>
              <c:numCache>
                <c:formatCode>"$"#,##0.00_);[Red]\("$"#,##0.00\)</c:formatCode>
                <c:ptCount val="10"/>
                <c:pt idx="0">
                  <c:v>97.03722818117447</c:v>
                </c:pt>
                <c:pt idx="1">
                  <c:v>106.4817670585205</c:v>
                </c:pt>
                <c:pt idx="2">
                  <c:v>120.33</c:v>
                </c:pt>
                <c:pt idx="3">
                  <c:v>125.70590114073977</c:v>
                </c:pt>
                <c:pt idx="4">
                  <c:v>165.05518545821772</c:v>
                </c:pt>
                <c:pt idx="5">
                  <c:v>224.53799037464987</c:v>
                </c:pt>
                <c:pt idx="6">
                  <c:v>288.92850381831062</c:v>
                </c:pt>
                <c:pt idx="7">
                  <c:v>311.2442330456131</c:v>
                </c:pt>
                <c:pt idx="8">
                  <c:v>323.83538643649047</c:v>
                </c:pt>
                <c:pt idx="9">
                  <c:v>406.70517002053668</c:v>
                </c:pt>
              </c:numCache>
            </c:numRef>
          </c:val>
          <c:smooth val="0"/>
          <c:extLst>
            <c:ext xmlns:c16="http://schemas.microsoft.com/office/drawing/2014/chart" uri="{C3380CC4-5D6E-409C-BE32-E72D297353CC}">
              <c16:uniqueId val="{00000006-5468-496A-9FDA-CB81916E51C7}"/>
            </c:ext>
          </c:extLst>
        </c:ser>
        <c:dLbls>
          <c:showLegendKey val="0"/>
          <c:showVal val="0"/>
          <c:showCatName val="0"/>
          <c:showSerName val="0"/>
          <c:showPercent val="0"/>
          <c:showBubbleSize val="0"/>
        </c:dLbls>
        <c:marker val="1"/>
        <c:smooth val="0"/>
        <c:axId val="551981104"/>
        <c:axId val="706616016"/>
      </c:lineChart>
      <c:lineChart>
        <c:grouping val="standard"/>
        <c:varyColors val="0"/>
        <c:ser>
          <c:idx val="1"/>
          <c:order val="1"/>
          <c:tx>
            <c:v>Total CAPEX</c:v>
          </c:tx>
          <c:spPr>
            <a:ln w="31750" cap="rnd">
              <a:noFill/>
              <a:round/>
            </a:ln>
            <a:effectLst/>
          </c:spPr>
          <c:marker>
            <c:symbol val="square"/>
            <c:size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noFill/>
                <a:round/>
              </a:ln>
              <a:effectLst/>
            </c:spPr>
          </c:marker>
          <c:val>
            <c:numRef>
              <c:f>(Inputs!$F$4,Inputs!$D$4,Inputs!$J$4,Inputs!$L$4,Inputs!$H$4,Inputs!$G$4,Inputs!$E$4,Inputs!$K$4,Inputs!$C$4,Inputs!$I$4)</c:f>
              <c:numCache>
                <c:formatCode>_("$"* #,##0_);_("$"* \(#,##0\);_("$"* "-"??_);_(@_)</c:formatCode>
                <c:ptCount val="10"/>
                <c:pt idx="0">
                  <c:v>927</c:v>
                </c:pt>
                <c:pt idx="1">
                  <c:v>800</c:v>
                </c:pt>
                <c:pt idx="2">
                  <c:v>670</c:v>
                </c:pt>
                <c:pt idx="3">
                  <c:v>1189</c:v>
                </c:pt>
                <c:pt idx="4">
                  <c:v>1500</c:v>
                </c:pt>
                <c:pt idx="5">
                  <c:v>1500</c:v>
                </c:pt>
                <c:pt idx="6">
                  <c:v>1400</c:v>
                </c:pt>
                <c:pt idx="7">
                  <c:v>1500</c:v>
                </c:pt>
                <c:pt idx="8">
                  <c:v>1200</c:v>
                </c:pt>
                <c:pt idx="9">
                  <c:v>2210</c:v>
                </c:pt>
              </c:numCache>
            </c:numRef>
          </c:val>
          <c:smooth val="0"/>
          <c:extLst>
            <c:ext xmlns:c16="http://schemas.microsoft.com/office/drawing/2014/chart" uri="{C3380CC4-5D6E-409C-BE32-E72D297353CC}">
              <c16:uniqueId val="{00000000-405E-4728-8B57-E7C137E41B61}"/>
            </c:ext>
          </c:extLst>
        </c:ser>
        <c:dLbls>
          <c:showLegendKey val="0"/>
          <c:showVal val="0"/>
          <c:showCatName val="0"/>
          <c:showSerName val="0"/>
          <c:showPercent val="0"/>
          <c:showBubbleSize val="0"/>
        </c:dLbls>
        <c:marker val="1"/>
        <c:smooth val="0"/>
        <c:axId val="543490479"/>
        <c:axId val="543483759"/>
      </c:lineChart>
      <c:catAx>
        <c:axId val="55198110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06616016"/>
        <c:crosses val="autoZero"/>
        <c:auto val="1"/>
        <c:lblAlgn val="ctr"/>
        <c:lblOffset val="100"/>
        <c:noMultiLvlLbl val="0"/>
      </c:catAx>
      <c:valAx>
        <c:axId val="706616016"/>
        <c:scaling>
          <c:orientation val="minMax"/>
          <c:max val="50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a:solidFill>
                      <a:schemeClr val="tx1">
                        <a:lumMod val="65000"/>
                        <a:lumOff val="35000"/>
                      </a:schemeClr>
                    </a:solidFill>
                  </a:rPr>
                  <a:t>Total Annual Fixed Cost ($/kW-yr)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51981104"/>
        <c:crosses val="autoZero"/>
        <c:crossBetween val="between"/>
      </c:valAx>
      <c:valAx>
        <c:axId val="543483759"/>
        <c:scaling>
          <c:orientation val="minMax"/>
          <c:max val="2500"/>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a:solidFill>
                      <a:schemeClr val="tx1">
                        <a:lumMod val="65000"/>
                        <a:lumOff val="35000"/>
                      </a:schemeClr>
                    </a:solidFill>
                  </a:rPr>
                  <a:t>Total</a:t>
                </a:r>
                <a:r>
                  <a:rPr lang="en-US" sz="1000" baseline="0">
                    <a:solidFill>
                      <a:schemeClr val="tx1">
                        <a:lumMod val="65000"/>
                        <a:lumOff val="35000"/>
                      </a:schemeClr>
                    </a:solidFill>
                  </a:rPr>
                  <a:t> CAPEX ($/kW)</a:t>
                </a:r>
                <a:endParaRPr lang="en-US" sz="1000">
                  <a:solidFill>
                    <a:schemeClr val="tx1">
                      <a:lumMod val="65000"/>
                      <a:lumOff val="35000"/>
                    </a:schemeClr>
                  </a:solidFill>
                </a:endParaRP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43490479"/>
        <c:crosses val="max"/>
        <c:crossBetween val="between"/>
      </c:valAx>
      <c:catAx>
        <c:axId val="543490479"/>
        <c:scaling>
          <c:orientation val="minMax"/>
        </c:scaling>
        <c:delete val="1"/>
        <c:axPos val="b"/>
        <c:majorTickMark val="out"/>
        <c:minorTickMark val="none"/>
        <c:tickLblPos val="nextTo"/>
        <c:crossAx val="5434837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Comparison of Electricity Cost and Availability Assumptions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3275248789449562E-2"/>
          <c:y val="9.3179876465617067E-2"/>
          <c:w val="0.89223376767766061"/>
          <c:h val="0.53278807642359349"/>
        </c:manualLayout>
      </c:layout>
      <c:scatterChart>
        <c:scatterStyle val="lineMarker"/>
        <c:varyColors val="0"/>
        <c:ser>
          <c:idx val="0"/>
          <c:order val="0"/>
          <c:tx>
            <c:v>Princeton ZERO Lab, Wind and Solar [PNW]</c:v>
          </c:tx>
          <c:spPr>
            <a:ln w="25400" cap="rnd">
              <a:noFill/>
              <a:round/>
            </a:ln>
            <a:effectLst/>
          </c:spPr>
          <c:marker>
            <c:symbol val="star"/>
            <c:size val="7"/>
            <c:spPr>
              <a:solidFill>
                <a:srgbClr val="00B0F0"/>
              </a:solidFill>
              <a:ln w="9525">
                <a:noFill/>
              </a:ln>
              <a:effectLst/>
            </c:spPr>
          </c:marker>
          <c:xVal>
            <c:numLit>
              <c:formatCode>General</c:formatCode>
              <c:ptCount val="1"/>
              <c:pt idx="0">
                <c:v>0.92</c:v>
              </c:pt>
            </c:numLit>
          </c:xVal>
          <c:yVal>
            <c:numLit>
              <c:formatCode>General</c:formatCode>
              <c:ptCount val="1"/>
              <c:pt idx="0">
                <c:v>31.96</c:v>
              </c:pt>
            </c:numLit>
          </c:yVal>
          <c:smooth val="0"/>
          <c:extLst>
            <c:ext xmlns:c16="http://schemas.microsoft.com/office/drawing/2014/chart" uri="{C3380CC4-5D6E-409C-BE32-E72D297353CC}">
              <c16:uniqueId val="{00000000-FFB0-421E-840E-77810A4B0A85}"/>
            </c:ext>
          </c:extLst>
        </c:ser>
        <c:ser>
          <c:idx val="1"/>
          <c:order val="1"/>
          <c:tx>
            <c:v>Princeton ZERO Lab, Solar and Batteries [N. CA]</c:v>
          </c:tx>
          <c:spPr>
            <a:ln w="25400" cap="rnd">
              <a:noFill/>
              <a:round/>
            </a:ln>
            <a:effectLst/>
          </c:spPr>
          <c:marker>
            <c:symbol val="square"/>
            <c:size val="7"/>
            <c:spPr>
              <a:solidFill>
                <a:schemeClr val="accent2"/>
              </a:solidFill>
              <a:ln w="9525">
                <a:noFill/>
              </a:ln>
              <a:effectLst/>
            </c:spPr>
          </c:marker>
          <c:xVal>
            <c:numLit>
              <c:formatCode>General</c:formatCode>
              <c:ptCount val="1"/>
              <c:pt idx="0">
                <c:v>0.71</c:v>
              </c:pt>
            </c:numLit>
          </c:xVal>
          <c:yVal>
            <c:numLit>
              <c:formatCode>General</c:formatCode>
              <c:ptCount val="1"/>
              <c:pt idx="0">
                <c:v>41.57</c:v>
              </c:pt>
            </c:numLit>
          </c:yVal>
          <c:smooth val="0"/>
          <c:extLst>
            <c:ext xmlns:c16="http://schemas.microsoft.com/office/drawing/2014/chart" uri="{C3380CC4-5D6E-409C-BE32-E72D297353CC}">
              <c16:uniqueId val="{00000001-FFB0-421E-840E-77810A4B0A85}"/>
            </c:ext>
          </c:extLst>
        </c:ser>
        <c:ser>
          <c:idx val="2"/>
          <c:order val="2"/>
          <c:tx>
            <c:v>Electric Hydrogen, Wind and Solar [Avg.]</c:v>
          </c:tx>
          <c:spPr>
            <a:ln w="25400" cap="rnd">
              <a:noFill/>
              <a:round/>
            </a:ln>
            <a:effectLst/>
          </c:spPr>
          <c:marker>
            <c:symbol val="diamond"/>
            <c:size val="8"/>
            <c:spPr>
              <a:solidFill>
                <a:srgbClr val="00B050"/>
              </a:solidFill>
              <a:ln w="9525">
                <a:noFill/>
              </a:ln>
              <a:effectLst/>
            </c:spPr>
          </c:marker>
          <c:xVal>
            <c:numLit>
              <c:formatCode>General</c:formatCode>
              <c:ptCount val="1"/>
              <c:pt idx="0">
                <c:v>0.7</c:v>
              </c:pt>
            </c:numLit>
          </c:xVal>
          <c:yVal>
            <c:numLit>
              <c:formatCode>General</c:formatCode>
              <c:ptCount val="1"/>
              <c:pt idx="0">
                <c:v>25</c:v>
              </c:pt>
            </c:numLit>
          </c:yVal>
          <c:smooth val="0"/>
          <c:extLst>
            <c:ext xmlns:c16="http://schemas.microsoft.com/office/drawing/2014/chart" uri="{C3380CC4-5D6E-409C-BE32-E72D297353CC}">
              <c16:uniqueId val="{00000002-FFB0-421E-840E-77810A4B0A85}"/>
            </c:ext>
          </c:extLst>
        </c:ser>
        <c:ser>
          <c:idx val="3"/>
          <c:order val="3"/>
          <c:tx>
            <c:v>Energy Innovation LLC, Wind and Solar [Avg.]</c:v>
          </c:tx>
          <c:spPr>
            <a:ln w="25400" cap="rnd">
              <a:noFill/>
              <a:round/>
            </a:ln>
            <a:effectLst/>
          </c:spPr>
          <c:marker>
            <c:symbol val="triangle"/>
            <c:size val="7"/>
            <c:spPr>
              <a:solidFill>
                <a:srgbClr val="CC00FF"/>
              </a:solidFill>
              <a:ln w="9525">
                <a:noFill/>
              </a:ln>
              <a:effectLst/>
            </c:spPr>
          </c:marker>
          <c:xVal>
            <c:numLit>
              <c:formatCode>General</c:formatCode>
              <c:ptCount val="1"/>
              <c:pt idx="0">
                <c:v>0.85</c:v>
              </c:pt>
            </c:numLit>
          </c:xVal>
          <c:yVal>
            <c:numLit>
              <c:formatCode>General</c:formatCode>
              <c:ptCount val="1"/>
              <c:pt idx="0">
                <c:v>21.5</c:v>
              </c:pt>
            </c:numLit>
          </c:yVal>
          <c:smooth val="0"/>
          <c:extLst>
            <c:ext xmlns:c16="http://schemas.microsoft.com/office/drawing/2014/chart" uri="{C3380CC4-5D6E-409C-BE32-E72D297353CC}">
              <c16:uniqueId val="{00000003-FFB0-421E-840E-77810A4B0A85}"/>
            </c:ext>
          </c:extLst>
        </c:ser>
        <c:ser>
          <c:idx val="4"/>
          <c:order val="4"/>
          <c:tx>
            <c:v>Clean Energy Developer 1, Wind and Solar [TX]</c:v>
          </c:tx>
          <c:spPr>
            <a:ln w="25400" cap="rnd">
              <a:noFill/>
              <a:round/>
            </a:ln>
            <a:effectLst/>
          </c:spPr>
          <c:marker>
            <c:symbol val="circle"/>
            <c:size val="7"/>
            <c:spPr>
              <a:solidFill>
                <a:schemeClr val="bg2">
                  <a:lumMod val="50000"/>
                </a:schemeClr>
              </a:solidFill>
              <a:ln w="9525">
                <a:noFill/>
              </a:ln>
              <a:effectLst/>
            </c:spPr>
          </c:marker>
          <c:xVal>
            <c:numLit>
              <c:formatCode>General</c:formatCode>
              <c:ptCount val="1"/>
              <c:pt idx="0">
                <c:v>0.75</c:v>
              </c:pt>
            </c:numLit>
          </c:xVal>
          <c:yVal>
            <c:numLit>
              <c:formatCode>General</c:formatCode>
              <c:ptCount val="1"/>
              <c:pt idx="0">
                <c:v>21</c:v>
              </c:pt>
            </c:numLit>
          </c:yVal>
          <c:smooth val="0"/>
          <c:extLst>
            <c:ext xmlns:c16="http://schemas.microsoft.com/office/drawing/2014/chart" uri="{C3380CC4-5D6E-409C-BE32-E72D297353CC}">
              <c16:uniqueId val="{00000004-FFB0-421E-840E-77810A4B0A85}"/>
            </c:ext>
          </c:extLst>
        </c:ser>
        <c:ser>
          <c:idx val="12"/>
          <c:order val="5"/>
          <c:tx>
            <c:v>MIT Energy Initiative, Wind and Solar [FL]</c:v>
          </c:tx>
          <c:spPr>
            <a:ln w="25400" cap="rnd">
              <a:noFill/>
              <a:round/>
            </a:ln>
            <a:effectLst/>
          </c:spPr>
          <c:marker>
            <c:symbol val="square"/>
            <c:size val="10"/>
            <c:spPr>
              <a:blipFill>
                <a:blip xmlns:r="http://schemas.openxmlformats.org/officeDocument/2006/relationships" r:embed="rId3"/>
                <a:stretch>
                  <a:fillRect/>
                </a:stretch>
              </a:blipFill>
              <a:ln w="9525">
                <a:noFill/>
              </a:ln>
              <a:effectLst/>
            </c:spPr>
          </c:marker>
          <c:xVal>
            <c:numLit>
              <c:formatCode>General</c:formatCode>
              <c:ptCount val="1"/>
              <c:pt idx="0">
                <c:v>0.81</c:v>
              </c:pt>
            </c:numLit>
          </c:xVal>
          <c:yVal>
            <c:numLit>
              <c:formatCode>General</c:formatCode>
              <c:ptCount val="1"/>
              <c:pt idx="0">
                <c:v>41</c:v>
              </c:pt>
            </c:numLit>
          </c:yVal>
          <c:smooth val="0"/>
          <c:extLst>
            <c:ext xmlns:c16="http://schemas.microsoft.com/office/drawing/2014/chart" uri="{C3380CC4-5D6E-409C-BE32-E72D297353CC}">
              <c16:uniqueId val="{00000000-93EA-41C6-B0A8-02ADA0B38EFC}"/>
            </c:ext>
          </c:extLst>
        </c:ser>
        <c:ser>
          <c:idx val="13"/>
          <c:order val="6"/>
          <c:tx>
            <c:v>MIT Energy Initiative, Wind and Solar [TX]</c:v>
          </c:tx>
          <c:spPr>
            <a:ln w="25400" cap="rnd">
              <a:noFill/>
              <a:round/>
            </a:ln>
            <a:effectLst/>
          </c:spPr>
          <c:marker>
            <c:symbol val="square"/>
            <c:size val="10"/>
            <c:spPr>
              <a:blipFill>
                <a:blip xmlns:r="http://schemas.openxmlformats.org/officeDocument/2006/relationships" r:embed="rId4"/>
                <a:stretch>
                  <a:fillRect/>
                </a:stretch>
              </a:blipFill>
              <a:ln w="9525">
                <a:noFill/>
              </a:ln>
              <a:effectLst/>
            </c:spPr>
          </c:marker>
          <c:xVal>
            <c:numLit>
              <c:formatCode>General</c:formatCode>
              <c:ptCount val="1"/>
              <c:pt idx="0">
                <c:v>0.83</c:v>
              </c:pt>
            </c:numLit>
          </c:xVal>
          <c:yVal>
            <c:numLit>
              <c:formatCode>General</c:formatCode>
              <c:ptCount val="1"/>
              <c:pt idx="0">
                <c:v>27</c:v>
              </c:pt>
            </c:numLit>
          </c:yVal>
          <c:smooth val="0"/>
          <c:extLst>
            <c:ext xmlns:c16="http://schemas.microsoft.com/office/drawing/2014/chart" uri="{C3380CC4-5D6E-409C-BE32-E72D297353CC}">
              <c16:uniqueId val="{00000001-93EA-41C6-B0A8-02ADA0B38EFC}"/>
            </c:ext>
          </c:extLst>
        </c:ser>
        <c:ser>
          <c:idx val="9"/>
          <c:order val="7"/>
          <c:tx>
            <c:v>Wood Mackenzie, Wind and Solar [TX]</c:v>
          </c:tx>
          <c:spPr>
            <a:ln w="25400" cap="rnd">
              <a:noFill/>
              <a:round/>
            </a:ln>
            <a:effectLst/>
          </c:spPr>
          <c:marker>
            <c:symbol val="triangle"/>
            <c:size val="7"/>
            <c:spPr>
              <a:pattFill prst="narHorz">
                <a:fgClr>
                  <a:srgbClr val="002060"/>
                </a:fgClr>
                <a:bgClr>
                  <a:schemeClr val="bg1"/>
                </a:bgClr>
              </a:pattFill>
              <a:ln w="19050">
                <a:solidFill>
                  <a:srgbClr val="002060"/>
                </a:solidFill>
              </a:ln>
              <a:effectLst/>
            </c:spPr>
          </c:marker>
          <c:xVal>
            <c:numLit>
              <c:formatCode>General</c:formatCode>
              <c:ptCount val="1"/>
              <c:pt idx="0">
                <c:v>0.72</c:v>
              </c:pt>
            </c:numLit>
          </c:xVal>
          <c:yVal>
            <c:numLit>
              <c:formatCode>General</c:formatCode>
              <c:ptCount val="1"/>
              <c:pt idx="0">
                <c:v>32</c:v>
              </c:pt>
            </c:numLit>
          </c:yVal>
          <c:smooth val="0"/>
          <c:extLst>
            <c:ext xmlns:c16="http://schemas.microsoft.com/office/drawing/2014/chart" uri="{C3380CC4-5D6E-409C-BE32-E72D297353CC}">
              <c16:uniqueId val="{00000009-FFB0-421E-840E-77810A4B0A85}"/>
            </c:ext>
          </c:extLst>
        </c:ser>
        <c:ser>
          <c:idx val="10"/>
          <c:order val="8"/>
          <c:tx>
            <c:v>Wood Mackenzie, Solar Only [AZ]</c:v>
          </c:tx>
          <c:spPr>
            <a:ln w="25400" cap="rnd">
              <a:noFill/>
              <a:round/>
            </a:ln>
            <a:effectLst/>
          </c:spPr>
          <c:marker>
            <c:symbol val="triangle"/>
            <c:size val="7"/>
            <c:spPr>
              <a:pattFill prst="narHorz">
                <a:fgClr>
                  <a:srgbClr val="C00000"/>
                </a:fgClr>
                <a:bgClr>
                  <a:schemeClr val="bg1"/>
                </a:bgClr>
              </a:pattFill>
              <a:ln w="19050">
                <a:solidFill>
                  <a:srgbClr val="C00000"/>
                </a:solidFill>
              </a:ln>
              <a:effectLst/>
            </c:spPr>
          </c:marker>
          <c:xVal>
            <c:numLit>
              <c:formatCode>General</c:formatCode>
              <c:ptCount val="1"/>
              <c:pt idx="0">
                <c:v>0.46</c:v>
              </c:pt>
            </c:numLit>
          </c:xVal>
          <c:yVal>
            <c:numLit>
              <c:formatCode>General</c:formatCode>
              <c:ptCount val="1"/>
              <c:pt idx="0">
                <c:v>34</c:v>
              </c:pt>
            </c:numLit>
          </c:yVal>
          <c:smooth val="0"/>
          <c:extLst>
            <c:ext xmlns:c16="http://schemas.microsoft.com/office/drawing/2014/chart" uri="{C3380CC4-5D6E-409C-BE32-E72D297353CC}">
              <c16:uniqueId val="{0000000A-FFB0-421E-840E-77810A4B0A85}"/>
            </c:ext>
          </c:extLst>
        </c:ser>
        <c:ser>
          <c:idx val="5"/>
          <c:order val="9"/>
          <c:tx>
            <c:v>Clean Energy Developer 2, Wind and Solar</c:v>
          </c:tx>
          <c:spPr>
            <a:ln w="25400" cap="rnd">
              <a:noFill/>
              <a:round/>
            </a:ln>
            <a:effectLst/>
          </c:spPr>
          <c:marker>
            <c:symbol val="square"/>
            <c:size val="7"/>
            <c:spPr>
              <a:pattFill prst="narHorz">
                <a:fgClr>
                  <a:srgbClr val="5CEA40"/>
                </a:fgClr>
                <a:bgClr>
                  <a:schemeClr val="bg1"/>
                </a:bgClr>
              </a:pattFill>
              <a:ln w="19050">
                <a:solidFill>
                  <a:srgbClr val="5CEA40"/>
                </a:solidFill>
              </a:ln>
              <a:effectLst/>
            </c:spPr>
          </c:marker>
          <c:xVal>
            <c:numLit>
              <c:formatCode>General</c:formatCode>
              <c:ptCount val="1"/>
              <c:pt idx="0">
                <c:v>0.7</c:v>
              </c:pt>
            </c:numLit>
          </c:xVal>
          <c:yVal>
            <c:numLit>
              <c:formatCode>General</c:formatCode>
              <c:ptCount val="1"/>
              <c:pt idx="0">
                <c:v>45</c:v>
              </c:pt>
            </c:numLit>
          </c:yVal>
          <c:smooth val="0"/>
          <c:extLst>
            <c:ext xmlns:c16="http://schemas.microsoft.com/office/drawing/2014/chart" uri="{C3380CC4-5D6E-409C-BE32-E72D297353CC}">
              <c16:uniqueId val="{00000005-FFB0-421E-840E-77810A4B0A85}"/>
            </c:ext>
          </c:extLst>
        </c:ser>
        <c:ser>
          <c:idx val="6"/>
          <c:order val="10"/>
          <c:tx>
            <c:v>Clean Energy Developer 2, Wind Only</c:v>
          </c:tx>
          <c:spPr>
            <a:ln w="25400" cap="rnd">
              <a:noFill/>
              <a:round/>
            </a:ln>
            <a:effectLst/>
          </c:spPr>
          <c:marker>
            <c:symbol val="square"/>
            <c:size val="7"/>
            <c:spPr>
              <a:pattFill prst="narHorz">
                <a:fgClr>
                  <a:srgbClr val="0070C0"/>
                </a:fgClr>
                <a:bgClr>
                  <a:schemeClr val="bg1"/>
                </a:bgClr>
              </a:pattFill>
              <a:ln w="19050">
                <a:solidFill>
                  <a:schemeClr val="accent1">
                    <a:lumMod val="60000"/>
                  </a:schemeClr>
                </a:solidFill>
              </a:ln>
              <a:effectLst/>
            </c:spPr>
          </c:marker>
          <c:xVal>
            <c:numLit>
              <c:formatCode>General</c:formatCode>
              <c:ptCount val="1"/>
              <c:pt idx="0">
                <c:v>0.56000000000000005</c:v>
              </c:pt>
            </c:numLit>
          </c:xVal>
          <c:yVal>
            <c:numLit>
              <c:formatCode>General</c:formatCode>
              <c:ptCount val="1"/>
              <c:pt idx="0">
                <c:v>50</c:v>
              </c:pt>
            </c:numLit>
          </c:yVal>
          <c:smooth val="0"/>
          <c:extLst>
            <c:ext xmlns:c16="http://schemas.microsoft.com/office/drawing/2014/chart" uri="{C3380CC4-5D6E-409C-BE32-E72D297353CC}">
              <c16:uniqueId val="{00000006-FFB0-421E-840E-77810A4B0A85}"/>
            </c:ext>
          </c:extLst>
        </c:ser>
        <c:ser>
          <c:idx val="7"/>
          <c:order val="11"/>
          <c:tx>
            <c:v>Clean Energy Developer 2, Solar Only</c:v>
          </c:tx>
          <c:spPr>
            <a:ln w="25400" cap="rnd">
              <a:noFill/>
              <a:round/>
            </a:ln>
            <a:effectLst/>
          </c:spPr>
          <c:marker>
            <c:symbol val="square"/>
            <c:size val="7"/>
            <c:spPr>
              <a:pattFill prst="narHorz">
                <a:fgClr>
                  <a:srgbClr val="FF5050"/>
                </a:fgClr>
                <a:bgClr>
                  <a:schemeClr val="bg1"/>
                </a:bgClr>
              </a:pattFill>
              <a:ln w="19050">
                <a:solidFill>
                  <a:srgbClr val="FF5050"/>
                </a:solidFill>
              </a:ln>
              <a:effectLst/>
            </c:spPr>
          </c:marker>
          <c:xVal>
            <c:numLit>
              <c:formatCode>General</c:formatCode>
              <c:ptCount val="1"/>
              <c:pt idx="0">
                <c:v>0.35</c:v>
              </c:pt>
            </c:numLit>
          </c:xVal>
          <c:yVal>
            <c:numLit>
              <c:formatCode>General</c:formatCode>
              <c:ptCount val="1"/>
              <c:pt idx="0">
                <c:v>30</c:v>
              </c:pt>
            </c:numLit>
          </c:yVal>
          <c:smooth val="0"/>
          <c:extLst>
            <c:ext xmlns:c16="http://schemas.microsoft.com/office/drawing/2014/chart" uri="{C3380CC4-5D6E-409C-BE32-E72D297353CC}">
              <c16:uniqueId val="{00000007-FFB0-421E-840E-77810A4B0A85}"/>
            </c:ext>
          </c:extLst>
        </c:ser>
        <c:ser>
          <c:idx val="8"/>
          <c:order val="12"/>
          <c:tx>
            <c:v>Rhodium Group, Solar Only</c:v>
          </c:tx>
          <c:spPr>
            <a:ln w="25400" cap="rnd">
              <a:noFill/>
              <a:round/>
            </a:ln>
            <a:effectLst/>
          </c:spPr>
          <c:marker>
            <c:symbol val="diamond"/>
            <c:size val="8"/>
            <c:spPr>
              <a:noFill/>
              <a:ln w="19050">
                <a:solidFill>
                  <a:schemeClr val="accent2">
                    <a:lumMod val="50000"/>
                  </a:schemeClr>
                </a:solidFill>
              </a:ln>
              <a:effectLst/>
            </c:spPr>
          </c:marker>
          <c:xVal>
            <c:numLit>
              <c:formatCode>General</c:formatCode>
              <c:ptCount val="1"/>
              <c:pt idx="0">
                <c:v>0.26</c:v>
              </c:pt>
            </c:numLit>
          </c:xVal>
          <c:yVal>
            <c:numLit>
              <c:formatCode>General</c:formatCode>
              <c:ptCount val="1"/>
              <c:pt idx="0">
                <c:v>23</c:v>
              </c:pt>
            </c:numLit>
          </c:yVal>
          <c:smooth val="0"/>
          <c:extLst>
            <c:ext xmlns:c16="http://schemas.microsoft.com/office/drawing/2014/chart" uri="{C3380CC4-5D6E-409C-BE32-E72D297353CC}">
              <c16:uniqueId val="{00000008-FFB0-421E-840E-77810A4B0A85}"/>
            </c:ext>
          </c:extLst>
        </c:ser>
        <c:ser>
          <c:idx val="11"/>
          <c:order val="13"/>
          <c:tx>
            <c:v>Energy Futures Initiative, Wind Only [TX]</c:v>
          </c:tx>
          <c:spPr>
            <a:ln w="25400" cap="rnd">
              <a:noFill/>
              <a:round/>
            </a:ln>
            <a:effectLst/>
          </c:spPr>
          <c:marker>
            <c:symbol val="circle"/>
            <c:size val="7"/>
            <c:spPr>
              <a:noFill/>
              <a:ln w="19050">
                <a:solidFill>
                  <a:srgbClr val="0070C0"/>
                </a:solidFill>
              </a:ln>
              <a:effectLst/>
            </c:spPr>
          </c:marker>
          <c:xVal>
            <c:numLit>
              <c:formatCode>General</c:formatCode>
              <c:ptCount val="1"/>
              <c:pt idx="0">
                <c:v>0.4</c:v>
              </c:pt>
            </c:numLit>
          </c:xVal>
          <c:yVal>
            <c:numLit>
              <c:formatCode>General</c:formatCode>
              <c:ptCount val="1"/>
              <c:pt idx="0">
                <c:v>26</c:v>
              </c:pt>
            </c:numLit>
          </c:yVal>
          <c:smooth val="0"/>
          <c:extLst>
            <c:ext xmlns:c16="http://schemas.microsoft.com/office/drawing/2014/chart" uri="{C3380CC4-5D6E-409C-BE32-E72D297353CC}">
              <c16:uniqueId val="{0000000B-FFB0-421E-840E-77810A4B0A85}"/>
            </c:ext>
          </c:extLst>
        </c:ser>
        <c:dLbls>
          <c:showLegendKey val="0"/>
          <c:showVal val="0"/>
          <c:showCatName val="0"/>
          <c:showSerName val="0"/>
          <c:showPercent val="0"/>
          <c:showBubbleSize val="0"/>
        </c:dLbls>
        <c:axId val="661205776"/>
        <c:axId val="549363168"/>
      </c:scatterChart>
      <c:valAx>
        <c:axId val="6612057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b="1"/>
                  <a:t>Electrolyzer Utilization Rate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49363168"/>
        <c:crosses val="autoZero"/>
        <c:crossBetween val="midCat"/>
      </c:valAx>
      <c:valAx>
        <c:axId val="549363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b="1"/>
                  <a:t>Average Electricity Cost ($/MWh)</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661205776"/>
        <c:crosses val="autoZero"/>
        <c:crossBetween val="midCat"/>
      </c:valAx>
      <c:spPr>
        <a:noFill/>
        <a:ln>
          <a:noFill/>
        </a:ln>
        <a:effectLst/>
      </c:spPr>
    </c:plotArea>
    <c:legend>
      <c:legendPos val="b"/>
      <c:layout>
        <c:manualLayout>
          <c:xMode val="edge"/>
          <c:yMode val="edge"/>
          <c:x val="2.7060581059052059E-2"/>
          <c:y val="0.71843010710588318"/>
          <c:w val="0.95477060825429727"/>
          <c:h val="0.281569903003386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sz="105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"Gate" Cost per kg of Hydrogen (post-subsidy)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6039492611705302E-2"/>
          <c:y val="7.3415198551362887E-2"/>
          <c:w val="0.87309722975295956"/>
          <c:h val="0.55656706713973725"/>
        </c:manualLayout>
      </c:layout>
      <c:scatterChart>
        <c:scatterStyle val="lineMarker"/>
        <c:varyColors val="0"/>
        <c:ser>
          <c:idx val="15"/>
          <c:order val="0"/>
          <c:tx>
            <c:v>$60/MWh Electricity</c:v>
          </c:tx>
          <c:spPr>
            <a:ln w="19050" cap="rnd">
              <a:solidFill>
                <a:schemeClr val="accent6">
                  <a:lumMod val="50000"/>
                </a:schemeClr>
              </a:solidFill>
              <a:round/>
            </a:ln>
            <a:effectLst/>
          </c:spPr>
          <c:marker>
            <c:symbol val="none"/>
          </c:marker>
          <c:xVal>
            <c:numRef>
              <c:f>Calculations!$F$2:$F$51</c:f>
              <c:numCache>
                <c:formatCode>General</c:formatCode>
                <c:ptCount val="50"/>
                <c:pt idx="0">
                  <c:v>0.02</c:v>
                </c:pt>
                <c:pt idx="1">
                  <c:v>0.04</c:v>
                </c:pt>
                <c:pt idx="2">
                  <c:v>0.06</c:v>
                </c:pt>
                <c:pt idx="3">
                  <c:v>0.08</c:v>
                </c:pt>
                <c:pt idx="4">
                  <c:v>0.1</c:v>
                </c:pt>
                <c:pt idx="5">
                  <c:v>0.12</c:v>
                </c:pt>
                <c:pt idx="6">
                  <c:v>0.14000000000000001</c:v>
                </c:pt>
                <c:pt idx="7">
                  <c:v>0.16</c:v>
                </c:pt>
                <c:pt idx="8">
                  <c:v>0.18</c:v>
                </c:pt>
                <c:pt idx="9">
                  <c:v>0.2</c:v>
                </c:pt>
                <c:pt idx="10">
                  <c:v>0.22</c:v>
                </c:pt>
                <c:pt idx="11">
                  <c:v>0.24</c:v>
                </c:pt>
                <c:pt idx="12">
                  <c:v>0.26</c:v>
                </c:pt>
                <c:pt idx="13">
                  <c:v>0.28000000000000003</c:v>
                </c:pt>
                <c:pt idx="14">
                  <c:v>0.3</c:v>
                </c:pt>
                <c:pt idx="15">
                  <c:v>0.32</c:v>
                </c:pt>
                <c:pt idx="16">
                  <c:v>0.34</c:v>
                </c:pt>
                <c:pt idx="17">
                  <c:v>0.36</c:v>
                </c:pt>
                <c:pt idx="18">
                  <c:v>0.38</c:v>
                </c:pt>
                <c:pt idx="19">
                  <c:v>0.4</c:v>
                </c:pt>
                <c:pt idx="20">
                  <c:v>0.42</c:v>
                </c:pt>
                <c:pt idx="21">
                  <c:v>0.44</c:v>
                </c:pt>
                <c:pt idx="22">
                  <c:v>0.46</c:v>
                </c:pt>
                <c:pt idx="23">
                  <c:v>0.48</c:v>
                </c:pt>
                <c:pt idx="24">
                  <c:v>0.5</c:v>
                </c:pt>
                <c:pt idx="25">
                  <c:v>0.52</c:v>
                </c:pt>
                <c:pt idx="26">
                  <c:v>0.54</c:v>
                </c:pt>
                <c:pt idx="27">
                  <c:v>0.56000000000000005</c:v>
                </c:pt>
                <c:pt idx="28">
                  <c:v>0.57999999999999996</c:v>
                </c:pt>
                <c:pt idx="29">
                  <c:v>0.6</c:v>
                </c:pt>
                <c:pt idx="30">
                  <c:v>0.62</c:v>
                </c:pt>
                <c:pt idx="31">
                  <c:v>0.64</c:v>
                </c:pt>
                <c:pt idx="32">
                  <c:v>0.66</c:v>
                </c:pt>
                <c:pt idx="33">
                  <c:v>0.68</c:v>
                </c:pt>
                <c:pt idx="34">
                  <c:v>0.7</c:v>
                </c:pt>
                <c:pt idx="35">
                  <c:v>0.72</c:v>
                </c:pt>
                <c:pt idx="36">
                  <c:v>0.74</c:v>
                </c:pt>
                <c:pt idx="37">
                  <c:v>0.76</c:v>
                </c:pt>
                <c:pt idx="38">
                  <c:v>0.78</c:v>
                </c:pt>
                <c:pt idx="39">
                  <c:v>0.8</c:v>
                </c:pt>
                <c:pt idx="40">
                  <c:v>0.82</c:v>
                </c:pt>
                <c:pt idx="41">
                  <c:v>0.84</c:v>
                </c:pt>
                <c:pt idx="42">
                  <c:v>0.86</c:v>
                </c:pt>
                <c:pt idx="43">
                  <c:v>0.88</c:v>
                </c:pt>
                <c:pt idx="44">
                  <c:v>0.9</c:v>
                </c:pt>
                <c:pt idx="45">
                  <c:v>0.92</c:v>
                </c:pt>
                <c:pt idx="46">
                  <c:v>0.94</c:v>
                </c:pt>
                <c:pt idx="47">
                  <c:v>0.96</c:v>
                </c:pt>
                <c:pt idx="48">
                  <c:v>0.98</c:v>
                </c:pt>
                <c:pt idx="49">
                  <c:v>1</c:v>
                </c:pt>
              </c:numCache>
            </c:numRef>
          </c:xVal>
          <c:yVal>
            <c:numRef>
              <c:f>Calculations!$G$2:$G$51</c:f>
              <c:numCache>
                <c:formatCode>_("$"* #,##0.00_);_("$"* \(#,##0.00\);_("$"* "-"??_);_(@_)</c:formatCode>
                <c:ptCount val="50"/>
                <c:pt idx="0">
                  <c:v>57.115842466220514</c:v>
                </c:pt>
                <c:pt idx="1">
                  <c:v>28.557921233110253</c:v>
                </c:pt>
                <c:pt idx="2">
                  <c:v>19.038614155406837</c:v>
                </c:pt>
                <c:pt idx="3">
                  <c:v>14.278960616555128</c:v>
                </c:pt>
                <c:pt idx="4">
                  <c:v>11.423168493244104</c:v>
                </c:pt>
                <c:pt idx="5">
                  <c:v>9.5193070777034183</c:v>
                </c:pt>
                <c:pt idx="6">
                  <c:v>8.1594060666029318</c:v>
                </c:pt>
                <c:pt idx="7">
                  <c:v>7.1394803082775642</c:v>
                </c:pt>
                <c:pt idx="8">
                  <c:v>6.3462047184689467</c:v>
                </c:pt>
                <c:pt idx="9">
                  <c:v>5.7115842466220528</c:v>
                </c:pt>
                <c:pt idx="10">
                  <c:v>5.1923493151109561</c:v>
                </c:pt>
                <c:pt idx="11">
                  <c:v>4.7596535388517101</c:v>
                </c:pt>
                <c:pt idx="12">
                  <c:v>4.3935263435554237</c:v>
                </c:pt>
                <c:pt idx="13">
                  <c:v>4.079703033301465</c:v>
                </c:pt>
                <c:pt idx="14">
                  <c:v>3.8077228310813669</c:v>
                </c:pt>
                <c:pt idx="15">
                  <c:v>3.5697401541387808</c:v>
                </c:pt>
                <c:pt idx="16">
                  <c:v>3.3597554391894415</c:v>
                </c:pt>
                <c:pt idx="17">
                  <c:v>3.1731023592344729</c:v>
                </c:pt>
                <c:pt idx="18">
                  <c:v>3.006096971906342</c:v>
                </c:pt>
                <c:pt idx="19">
                  <c:v>2.8557921233110251</c:v>
                </c:pt>
                <c:pt idx="20">
                  <c:v>2.7198020222009771</c:v>
                </c:pt>
                <c:pt idx="21">
                  <c:v>2.5961746575554776</c:v>
                </c:pt>
                <c:pt idx="22">
                  <c:v>2.4832974985313263</c:v>
                </c:pt>
                <c:pt idx="23">
                  <c:v>2.3798267694258546</c:v>
                </c:pt>
                <c:pt idx="24">
                  <c:v>2.2846336986488196</c:v>
                </c:pt>
                <c:pt idx="25">
                  <c:v>2.1967631717777114</c:v>
                </c:pt>
                <c:pt idx="26">
                  <c:v>2.1154015728229818</c:v>
                </c:pt>
                <c:pt idx="27">
                  <c:v>2.0398515166507321</c:v>
                </c:pt>
                <c:pt idx="28">
                  <c:v>1.9695118091800174</c:v>
                </c:pt>
                <c:pt idx="29">
                  <c:v>1.9038614155406832</c:v>
                </c:pt>
                <c:pt idx="30">
                  <c:v>1.8424465311684037</c:v>
                </c:pt>
                <c:pt idx="31">
                  <c:v>1.7848700770693902</c:v>
                </c:pt>
                <c:pt idx="32">
                  <c:v>1.7307831050369855</c:v>
                </c:pt>
                <c:pt idx="33">
                  <c:v>1.6798777195947205</c:v>
                </c:pt>
                <c:pt idx="34">
                  <c:v>1.6318812133205856</c:v>
                </c:pt>
                <c:pt idx="35">
                  <c:v>1.5865511796172354</c:v>
                </c:pt>
                <c:pt idx="36">
                  <c:v>1.5436714180059599</c:v>
                </c:pt>
                <c:pt idx="37">
                  <c:v>1.5030484859531712</c:v>
                </c:pt>
                <c:pt idx="38">
                  <c:v>1.4645087811851405</c:v>
                </c:pt>
                <c:pt idx="39">
                  <c:v>1.4278960616555127</c:v>
                </c:pt>
                <c:pt idx="40">
                  <c:v>1.3930693284444025</c:v>
                </c:pt>
                <c:pt idx="41">
                  <c:v>1.3599010111004879</c:v>
                </c:pt>
                <c:pt idx="42">
                  <c:v>1.3282754061911741</c:v>
                </c:pt>
                <c:pt idx="43">
                  <c:v>1.2980873287777386</c:v>
                </c:pt>
                <c:pt idx="44">
                  <c:v>1.2692409436937884</c:v>
                </c:pt>
                <c:pt idx="45">
                  <c:v>1.2416487492656629</c:v>
                </c:pt>
                <c:pt idx="46">
                  <c:v>1.2152306907706492</c:v>
                </c:pt>
                <c:pt idx="47">
                  <c:v>1.1899133847129266</c:v>
                </c:pt>
                <c:pt idx="48">
                  <c:v>1.1656294380861332</c:v>
                </c:pt>
                <c:pt idx="49">
                  <c:v>1.1423168493244096</c:v>
                </c:pt>
              </c:numCache>
            </c:numRef>
          </c:yVal>
          <c:smooth val="0"/>
          <c:extLst>
            <c:ext xmlns:c16="http://schemas.microsoft.com/office/drawing/2014/chart" uri="{C3380CC4-5D6E-409C-BE32-E72D297353CC}">
              <c16:uniqueId val="{0000000F-8C4B-4366-856E-9EADD23D6080}"/>
            </c:ext>
          </c:extLst>
        </c:ser>
        <c:ser>
          <c:idx val="1"/>
          <c:order val="1"/>
          <c:tx>
            <c:v>$50/MWh Electricity</c:v>
          </c:tx>
          <c:spPr>
            <a:ln w="19050" cap="rnd">
              <a:solidFill>
                <a:schemeClr val="accent2"/>
              </a:solidFill>
              <a:round/>
            </a:ln>
            <a:effectLst/>
          </c:spPr>
          <c:marker>
            <c:symbol val="none"/>
          </c:marker>
          <c:xVal>
            <c:numRef>
              <c:f>Calculations!$F$2:$F$51</c:f>
              <c:numCache>
                <c:formatCode>General</c:formatCode>
                <c:ptCount val="50"/>
                <c:pt idx="0">
                  <c:v>0.02</c:v>
                </c:pt>
                <c:pt idx="1">
                  <c:v>0.04</c:v>
                </c:pt>
                <c:pt idx="2">
                  <c:v>0.06</c:v>
                </c:pt>
                <c:pt idx="3">
                  <c:v>0.08</c:v>
                </c:pt>
                <c:pt idx="4">
                  <c:v>0.1</c:v>
                </c:pt>
                <c:pt idx="5">
                  <c:v>0.12</c:v>
                </c:pt>
                <c:pt idx="6">
                  <c:v>0.14000000000000001</c:v>
                </c:pt>
                <c:pt idx="7">
                  <c:v>0.16</c:v>
                </c:pt>
                <c:pt idx="8">
                  <c:v>0.18</c:v>
                </c:pt>
                <c:pt idx="9">
                  <c:v>0.2</c:v>
                </c:pt>
                <c:pt idx="10">
                  <c:v>0.22</c:v>
                </c:pt>
                <c:pt idx="11">
                  <c:v>0.24</c:v>
                </c:pt>
                <c:pt idx="12">
                  <c:v>0.26</c:v>
                </c:pt>
                <c:pt idx="13">
                  <c:v>0.28000000000000003</c:v>
                </c:pt>
                <c:pt idx="14">
                  <c:v>0.3</c:v>
                </c:pt>
                <c:pt idx="15">
                  <c:v>0.32</c:v>
                </c:pt>
                <c:pt idx="16">
                  <c:v>0.34</c:v>
                </c:pt>
                <c:pt idx="17">
                  <c:v>0.36</c:v>
                </c:pt>
                <c:pt idx="18">
                  <c:v>0.38</c:v>
                </c:pt>
                <c:pt idx="19">
                  <c:v>0.4</c:v>
                </c:pt>
                <c:pt idx="20">
                  <c:v>0.42</c:v>
                </c:pt>
                <c:pt idx="21">
                  <c:v>0.44</c:v>
                </c:pt>
                <c:pt idx="22">
                  <c:v>0.46</c:v>
                </c:pt>
                <c:pt idx="23">
                  <c:v>0.48</c:v>
                </c:pt>
                <c:pt idx="24">
                  <c:v>0.5</c:v>
                </c:pt>
                <c:pt idx="25">
                  <c:v>0.52</c:v>
                </c:pt>
                <c:pt idx="26">
                  <c:v>0.54</c:v>
                </c:pt>
                <c:pt idx="27">
                  <c:v>0.56000000000000005</c:v>
                </c:pt>
                <c:pt idx="28">
                  <c:v>0.57999999999999996</c:v>
                </c:pt>
                <c:pt idx="29">
                  <c:v>0.6</c:v>
                </c:pt>
                <c:pt idx="30">
                  <c:v>0.62</c:v>
                </c:pt>
                <c:pt idx="31">
                  <c:v>0.64</c:v>
                </c:pt>
                <c:pt idx="32">
                  <c:v>0.66</c:v>
                </c:pt>
                <c:pt idx="33">
                  <c:v>0.68</c:v>
                </c:pt>
                <c:pt idx="34">
                  <c:v>0.7</c:v>
                </c:pt>
                <c:pt idx="35">
                  <c:v>0.72</c:v>
                </c:pt>
                <c:pt idx="36">
                  <c:v>0.74</c:v>
                </c:pt>
                <c:pt idx="37">
                  <c:v>0.76</c:v>
                </c:pt>
                <c:pt idx="38">
                  <c:v>0.78</c:v>
                </c:pt>
                <c:pt idx="39">
                  <c:v>0.8</c:v>
                </c:pt>
                <c:pt idx="40">
                  <c:v>0.82</c:v>
                </c:pt>
                <c:pt idx="41">
                  <c:v>0.84</c:v>
                </c:pt>
                <c:pt idx="42">
                  <c:v>0.86</c:v>
                </c:pt>
                <c:pt idx="43">
                  <c:v>0.88</c:v>
                </c:pt>
                <c:pt idx="44">
                  <c:v>0.9</c:v>
                </c:pt>
                <c:pt idx="45">
                  <c:v>0.92</c:v>
                </c:pt>
                <c:pt idx="46">
                  <c:v>0.94</c:v>
                </c:pt>
                <c:pt idx="47">
                  <c:v>0.96</c:v>
                </c:pt>
                <c:pt idx="48">
                  <c:v>0.98</c:v>
                </c:pt>
                <c:pt idx="49">
                  <c:v>1</c:v>
                </c:pt>
              </c:numCache>
            </c:numRef>
          </c:xVal>
          <c:yVal>
            <c:numRef>
              <c:f>Calculations!$H$2:$H$51</c:f>
              <c:numCache>
                <c:formatCode>_("$"* #,##0.00_);_("$"* \(#,##0.00\);_("$"* "-"??_);_(@_)</c:formatCode>
                <c:ptCount val="50"/>
                <c:pt idx="0">
                  <c:v>56.615842466220514</c:v>
                </c:pt>
                <c:pt idx="1">
                  <c:v>28.057921233110257</c:v>
                </c:pt>
                <c:pt idx="2">
                  <c:v>18.538614155406837</c:v>
                </c:pt>
                <c:pt idx="3">
                  <c:v>13.778960616555128</c:v>
                </c:pt>
                <c:pt idx="4">
                  <c:v>10.923168493244104</c:v>
                </c:pt>
                <c:pt idx="5">
                  <c:v>9.0193070777034201</c:v>
                </c:pt>
                <c:pt idx="6">
                  <c:v>7.65940606660293</c:v>
                </c:pt>
                <c:pt idx="7">
                  <c:v>6.6394803082775642</c:v>
                </c:pt>
                <c:pt idx="8">
                  <c:v>5.8462047184689467</c:v>
                </c:pt>
                <c:pt idx="9">
                  <c:v>5.2115842466220528</c:v>
                </c:pt>
                <c:pt idx="10">
                  <c:v>4.6923493151109561</c:v>
                </c:pt>
                <c:pt idx="11">
                  <c:v>4.2596535388517101</c:v>
                </c:pt>
                <c:pt idx="12">
                  <c:v>3.893526343555425</c:v>
                </c:pt>
                <c:pt idx="13">
                  <c:v>3.5797030333014646</c:v>
                </c:pt>
                <c:pt idx="14">
                  <c:v>3.3077228310813678</c:v>
                </c:pt>
                <c:pt idx="15">
                  <c:v>3.0697401541387817</c:v>
                </c:pt>
                <c:pt idx="16">
                  <c:v>2.8597554391894415</c:v>
                </c:pt>
                <c:pt idx="17">
                  <c:v>2.6731023592344729</c:v>
                </c:pt>
                <c:pt idx="18">
                  <c:v>2.5060969719063428</c:v>
                </c:pt>
                <c:pt idx="19">
                  <c:v>2.3557921233110259</c:v>
                </c:pt>
                <c:pt idx="20">
                  <c:v>2.2198020222009762</c:v>
                </c:pt>
                <c:pt idx="21">
                  <c:v>2.0961746575554785</c:v>
                </c:pt>
                <c:pt idx="22">
                  <c:v>1.9832974985313263</c:v>
                </c:pt>
                <c:pt idx="23">
                  <c:v>1.8798267694258537</c:v>
                </c:pt>
                <c:pt idx="24">
                  <c:v>1.7846336986488214</c:v>
                </c:pt>
                <c:pt idx="25">
                  <c:v>1.6967631717777123</c:v>
                </c:pt>
                <c:pt idx="26">
                  <c:v>1.6154015728229809</c:v>
                </c:pt>
                <c:pt idx="27">
                  <c:v>1.5398515166507321</c:v>
                </c:pt>
                <c:pt idx="28">
                  <c:v>1.4695118091800183</c:v>
                </c:pt>
                <c:pt idx="29">
                  <c:v>1.4038614155406841</c:v>
                </c:pt>
                <c:pt idx="30">
                  <c:v>1.3424465311684037</c:v>
                </c:pt>
                <c:pt idx="31">
                  <c:v>1.284870077069391</c:v>
                </c:pt>
                <c:pt idx="32">
                  <c:v>1.2307831050369846</c:v>
                </c:pt>
                <c:pt idx="33">
                  <c:v>1.1798777195947205</c:v>
                </c:pt>
                <c:pt idx="34">
                  <c:v>1.1318812133205856</c:v>
                </c:pt>
                <c:pt idx="35">
                  <c:v>1.0865511796172362</c:v>
                </c:pt>
                <c:pt idx="36">
                  <c:v>1.0436714180059599</c:v>
                </c:pt>
                <c:pt idx="37">
                  <c:v>1.0030484859531712</c:v>
                </c:pt>
                <c:pt idx="38">
                  <c:v>0.96450878118514094</c:v>
                </c:pt>
                <c:pt idx="39">
                  <c:v>0.92789606165551231</c:v>
                </c:pt>
                <c:pt idx="40">
                  <c:v>0.8930693284444029</c:v>
                </c:pt>
                <c:pt idx="41">
                  <c:v>0.85990101110048833</c:v>
                </c:pt>
                <c:pt idx="42">
                  <c:v>0.82827540619117457</c:v>
                </c:pt>
                <c:pt idx="43">
                  <c:v>0.79808732877773858</c:v>
                </c:pt>
                <c:pt idx="44">
                  <c:v>0.76924094369378926</c:v>
                </c:pt>
                <c:pt idx="45">
                  <c:v>0.74164874926566293</c:v>
                </c:pt>
                <c:pt idx="46">
                  <c:v>0.71523069077064916</c:v>
                </c:pt>
                <c:pt idx="47">
                  <c:v>0.68991338471292707</c:v>
                </c:pt>
                <c:pt idx="48">
                  <c:v>0.66562943808613317</c:v>
                </c:pt>
                <c:pt idx="49">
                  <c:v>0.64231684932441002</c:v>
                </c:pt>
              </c:numCache>
            </c:numRef>
          </c:yVal>
          <c:smooth val="0"/>
          <c:extLst>
            <c:ext xmlns:c16="http://schemas.microsoft.com/office/drawing/2014/chart" uri="{C3380CC4-5D6E-409C-BE32-E72D297353CC}">
              <c16:uniqueId val="{00000000-8C4B-4366-856E-9EADD23D6080}"/>
            </c:ext>
          </c:extLst>
        </c:ser>
        <c:ser>
          <c:idx val="2"/>
          <c:order val="2"/>
          <c:tx>
            <c:v>$40/MWh Electricity</c:v>
          </c:tx>
          <c:spPr>
            <a:ln w="19050" cap="rnd">
              <a:solidFill>
                <a:schemeClr val="accent3"/>
              </a:solidFill>
              <a:round/>
            </a:ln>
            <a:effectLst/>
          </c:spPr>
          <c:marker>
            <c:symbol val="none"/>
          </c:marker>
          <c:xVal>
            <c:numRef>
              <c:f>Calculations!$F$2:$F$51</c:f>
              <c:numCache>
                <c:formatCode>General</c:formatCode>
                <c:ptCount val="50"/>
                <c:pt idx="0">
                  <c:v>0.02</c:v>
                </c:pt>
                <c:pt idx="1">
                  <c:v>0.04</c:v>
                </c:pt>
                <c:pt idx="2">
                  <c:v>0.06</c:v>
                </c:pt>
                <c:pt idx="3">
                  <c:v>0.08</c:v>
                </c:pt>
                <c:pt idx="4">
                  <c:v>0.1</c:v>
                </c:pt>
                <c:pt idx="5">
                  <c:v>0.12</c:v>
                </c:pt>
                <c:pt idx="6">
                  <c:v>0.14000000000000001</c:v>
                </c:pt>
                <c:pt idx="7">
                  <c:v>0.16</c:v>
                </c:pt>
                <c:pt idx="8">
                  <c:v>0.18</c:v>
                </c:pt>
                <c:pt idx="9">
                  <c:v>0.2</c:v>
                </c:pt>
                <c:pt idx="10">
                  <c:v>0.22</c:v>
                </c:pt>
                <c:pt idx="11">
                  <c:v>0.24</c:v>
                </c:pt>
                <c:pt idx="12">
                  <c:v>0.26</c:v>
                </c:pt>
                <c:pt idx="13">
                  <c:v>0.28000000000000003</c:v>
                </c:pt>
                <c:pt idx="14">
                  <c:v>0.3</c:v>
                </c:pt>
                <c:pt idx="15">
                  <c:v>0.32</c:v>
                </c:pt>
                <c:pt idx="16">
                  <c:v>0.34</c:v>
                </c:pt>
                <c:pt idx="17">
                  <c:v>0.36</c:v>
                </c:pt>
                <c:pt idx="18">
                  <c:v>0.38</c:v>
                </c:pt>
                <c:pt idx="19">
                  <c:v>0.4</c:v>
                </c:pt>
                <c:pt idx="20">
                  <c:v>0.42</c:v>
                </c:pt>
                <c:pt idx="21">
                  <c:v>0.44</c:v>
                </c:pt>
                <c:pt idx="22">
                  <c:v>0.46</c:v>
                </c:pt>
                <c:pt idx="23">
                  <c:v>0.48</c:v>
                </c:pt>
                <c:pt idx="24">
                  <c:v>0.5</c:v>
                </c:pt>
                <c:pt idx="25">
                  <c:v>0.52</c:v>
                </c:pt>
                <c:pt idx="26">
                  <c:v>0.54</c:v>
                </c:pt>
                <c:pt idx="27">
                  <c:v>0.56000000000000005</c:v>
                </c:pt>
                <c:pt idx="28">
                  <c:v>0.57999999999999996</c:v>
                </c:pt>
                <c:pt idx="29">
                  <c:v>0.6</c:v>
                </c:pt>
                <c:pt idx="30">
                  <c:v>0.62</c:v>
                </c:pt>
                <c:pt idx="31">
                  <c:v>0.64</c:v>
                </c:pt>
                <c:pt idx="32">
                  <c:v>0.66</c:v>
                </c:pt>
                <c:pt idx="33">
                  <c:v>0.68</c:v>
                </c:pt>
                <c:pt idx="34">
                  <c:v>0.7</c:v>
                </c:pt>
                <c:pt idx="35">
                  <c:v>0.72</c:v>
                </c:pt>
                <c:pt idx="36">
                  <c:v>0.74</c:v>
                </c:pt>
                <c:pt idx="37">
                  <c:v>0.76</c:v>
                </c:pt>
                <c:pt idx="38">
                  <c:v>0.78</c:v>
                </c:pt>
                <c:pt idx="39">
                  <c:v>0.8</c:v>
                </c:pt>
                <c:pt idx="40">
                  <c:v>0.82</c:v>
                </c:pt>
                <c:pt idx="41">
                  <c:v>0.84</c:v>
                </c:pt>
                <c:pt idx="42">
                  <c:v>0.86</c:v>
                </c:pt>
                <c:pt idx="43">
                  <c:v>0.88</c:v>
                </c:pt>
                <c:pt idx="44">
                  <c:v>0.9</c:v>
                </c:pt>
                <c:pt idx="45">
                  <c:v>0.92</c:v>
                </c:pt>
                <c:pt idx="46">
                  <c:v>0.94</c:v>
                </c:pt>
                <c:pt idx="47">
                  <c:v>0.96</c:v>
                </c:pt>
                <c:pt idx="48">
                  <c:v>0.98</c:v>
                </c:pt>
                <c:pt idx="49">
                  <c:v>1</c:v>
                </c:pt>
              </c:numCache>
            </c:numRef>
          </c:xVal>
          <c:yVal>
            <c:numRef>
              <c:f>Calculations!$I$2:$I$51</c:f>
              <c:numCache>
                <c:formatCode>_("$"* #,##0.00_);_("$"* \(#,##0.00\);_("$"* "-"??_);_(@_)</c:formatCode>
                <c:ptCount val="50"/>
                <c:pt idx="0">
                  <c:v>56.115842466220514</c:v>
                </c:pt>
                <c:pt idx="1">
                  <c:v>27.557921233110257</c:v>
                </c:pt>
                <c:pt idx="2">
                  <c:v>18.038614155406837</c:v>
                </c:pt>
                <c:pt idx="3">
                  <c:v>13.278960616555128</c:v>
                </c:pt>
                <c:pt idx="4">
                  <c:v>10.423168493244104</c:v>
                </c:pt>
                <c:pt idx="5">
                  <c:v>8.5193070777034201</c:v>
                </c:pt>
                <c:pt idx="6">
                  <c:v>7.1594060666029318</c:v>
                </c:pt>
                <c:pt idx="7">
                  <c:v>6.1394803082775642</c:v>
                </c:pt>
                <c:pt idx="8">
                  <c:v>5.3462047184689467</c:v>
                </c:pt>
                <c:pt idx="9">
                  <c:v>4.7115842466220528</c:v>
                </c:pt>
                <c:pt idx="10">
                  <c:v>4.1923493151109561</c:v>
                </c:pt>
                <c:pt idx="11">
                  <c:v>3.7596535388517087</c:v>
                </c:pt>
                <c:pt idx="12">
                  <c:v>3.393526343555425</c:v>
                </c:pt>
                <c:pt idx="13">
                  <c:v>3.0797030333014654</c:v>
                </c:pt>
                <c:pt idx="14">
                  <c:v>2.8077228310813669</c:v>
                </c:pt>
                <c:pt idx="15">
                  <c:v>2.5697401541387817</c:v>
                </c:pt>
                <c:pt idx="16">
                  <c:v>2.3597554391894424</c:v>
                </c:pt>
                <c:pt idx="17">
                  <c:v>2.1731023592344729</c:v>
                </c:pt>
                <c:pt idx="18">
                  <c:v>2.0060969719063428</c:v>
                </c:pt>
                <c:pt idx="19">
                  <c:v>1.8557921233110251</c:v>
                </c:pt>
                <c:pt idx="20">
                  <c:v>1.7198020222009771</c:v>
                </c:pt>
                <c:pt idx="21">
                  <c:v>1.5961746575554776</c:v>
                </c:pt>
                <c:pt idx="22">
                  <c:v>1.4832974985313263</c:v>
                </c:pt>
                <c:pt idx="23">
                  <c:v>1.3798267694258546</c:v>
                </c:pt>
                <c:pt idx="24">
                  <c:v>1.2846336986488205</c:v>
                </c:pt>
                <c:pt idx="25">
                  <c:v>1.1967631717777114</c:v>
                </c:pt>
                <c:pt idx="26">
                  <c:v>1.1154015728229818</c:v>
                </c:pt>
                <c:pt idx="27">
                  <c:v>1.0398515166507329</c:v>
                </c:pt>
                <c:pt idx="28">
                  <c:v>0.96951180918001745</c:v>
                </c:pt>
                <c:pt idx="29">
                  <c:v>0.90386141554068367</c:v>
                </c:pt>
                <c:pt idx="30">
                  <c:v>0.84244653116840418</c:v>
                </c:pt>
                <c:pt idx="31">
                  <c:v>0.7848700770693906</c:v>
                </c:pt>
                <c:pt idx="32">
                  <c:v>0.73078310503698507</c:v>
                </c:pt>
                <c:pt idx="33">
                  <c:v>0.67987771959472054</c:v>
                </c:pt>
                <c:pt idx="34">
                  <c:v>0.63188121332058556</c:v>
                </c:pt>
                <c:pt idx="35">
                  <c:v>0.58655117961723624</c:v>
                </c:pt>
                <c:pt idx="36">
                  <c:v>0.54367141800595942</c:v>
                </c:pt>
                <c:pt idx="37">
                  <c:v>0.5030484859531712</c:v>
                </c:pt>
                <c:pt idx="38">
                  <c:v>0.46450878118514138</c:v>
                </c:pt>
                <c:pt idx="39">
                  <c:v>0.42789606165551275</c:v>
                </c:pt>
                <c:pt idx="40">
                  <c:v>0.39306932844440245</c:v>
                </c:pt>
                <c:pt idx="41">
                  <c:v>0.35990101110048789</c:v>
                </c:pt>
                <c:pt idx="42">
                  <c:v>0.32827540619117457</c:v>
                </c:pt>
                <c:pt idx="43">
                  <c:v>0.29808732877773902</c:v>
                </c:pt>
                <c:pt idx="44">
                  <c:v>0.26924094369378881</c:v>
                </c:pt>
                <c:pt idx="45">
                  <c:v>0.24164874926566293</c:v>
                </c:pt>
                <c:pt idx="46">
                  <c:v>0.2152306907706496</c:v>
                </c:pt>
                <c:pt idx="47">
                  <c:v>0.18991338471292663</c:v>
                </c:pt>
                <c:pt idx="48">
                  <c:v>0.16562943808613273</c:v>
                </c:pt>
                <c:pt idx="49">
                  <c:v>0.14231684932441002</c:v>
                </c:pt>
              </c:numCache>
            </c:numRef>
          </c:yVal>
          <c:smooth val="0"/>
          <c:extLst>
            <c:ext xmlns:c16="http://schemas.microsoft.com/office/drawing/2014/chart" uri="{C3380CC4-5D6E-409C-BE32-E72D297353CC}">
              <c16:uniqueId val="{00000001-8C4B-4366-856E-9EADD23D6080}"/>
            </c:ext>
          </c:extLst>
        </c:ser>
        <c:ser>
          <c:idx val="3"/>
          <c:order val="3"/>
          <c:tx>
            <c:v>$30/MWh Electricity</c:v>
          </c:tx>
          <c:spPr>
            <a:ln w="19050" cap="rnd">
              <a:solidFill>
                <a:schemeClr val="accent4"/>
              </a:solidFill>
              <a:round/>
            </a:ln>
            <a:effectLst/>
          </c:spPr>
          <c:marker>
            <c:symbol val="none"/>
          </c:marker>
          <c:xVal>
            <c:numRef>
              <c:f>Calculations!$F$2:$F$51</c:f>
              <c:numCache>
                <c:formatCode>General</c:formatCode>
                <c:ptCount val="50"/>
                <c:pt idx="0">
                  <c:v>0.02</c:v>
                </c:pt>
                <c:pt idx="1">
                  <c:v>0.04</c:v>
                </c:pt>
                <c:pt idx="2">
                  <c:v>0.06</c:v>
                </c:pt>
                <c:pt idx="3">
                  <c:v>0.08</c:v>
                </c:pt>
                <c:pt idx="4">
                  <c:v>0.1</c:v>
                </c:pt>
                <c:pt idx="5">
                  <c:v>0.12</c:v>
                </c:pt>
                <c:pt idx="6">
                  <c:v>0.14000000000000001</c:v>
                </c:pt>
                <c:pt idx="7">
                  <c:v>0.16</c:v>
                </c:pt>
                <c:pt idx="8">
                  <c:v>0.18</c:v>
                </c:pt>
                <c:pt idx="9">
                  <c:v>0.2</c:v>
                </c:pt>
                <c:pt idx="10">
                  <c:v>0.22</c:v>
                </c:pt>
                <c:pt idx="11">
                  <c:v>0.24</c:v>
                </c:pt>
                <c:pt idx="12">
                  <c:v>0.26</c:v>
                </c:pt>
                <c:pt idx="13">
                  <c:v>0.28000000000000003</c:v>
                </c:pt>
                <c:pt idx="14">
                  <c:v>0.3</c:v>
                </c:pt>
                <c:pt idx="15">
                  <c:v>0.32</c:v>
                </c:pt>
                <c:pt idx="16">
                  <c:v>0.34</c:v>
                </c:pt>
                <c:pt idx="17">
                  <c:v>0.36</c:v>
                </c:pt>
                <c:pt idx="18">
                  <c:v>0.38</c:v>
                </c:pt>
                <c:pt idx="19">
                  <c:v>0.4</c:v>
                </c:pt>
                <c:pt idx="20">
                  <c:v>0.42</c:v>
                </c:pt>
                <c:pt idx="21">
                  <c:v>0.44</c:v>
                </c:pt>
                <c:pt idx="22">
                  <c:v>0.46</c:v>
                </c:pt>
                <c:pt idx="23">
                  <c:v>0.48</c:v>
                </c:pt>
                <c:pt idx="24">
                  <c:v>0.5</c:v>
                </c:pt>
                <c:pt idx="25">
                  <c:v>0.52</c:v>
                </c:pt>
                <c:pt idx="26">
                  <c:v>0.54</c:v>
                </c:pt>
                <c:pt idx="27">
                  <c:v>0.56000000000000005</c:v>
                </c:pt>
                <c:pt idx="28">
                  <c:v>0.57999999999999996</c:v>
                </c:pt>
                <c:pt idx="29">
                  <c:v>0.6</c:v>
                </c:pt>
                <c:pt idx="30">
                  <c:v>0.62</c:v>
                </c:pt>
                <c:pt idx="31">
                  <c:v>0.64</c:v>
                </c:pt>
                <c:pt idx="32">
                  <c:v>0.66</c:v>
                </c:pt>
                <c:pt idx="33">
                  <c:v>0.68</c:v>
                </c:pt>
                <c:pt idx="34">
                  <c:v>0.7</c:v>
                </c:pt>
                <c:pt idx="35">
                  <c:v>0.72</c:v>
                </c:pt>
                <c:pt idx="36">
                  <c:v>0.74</c:v>
                </c:pt>
                <c:pt idx="37">
                  <c:v>0.76</c:v>
                </c:pt>
                <c:pt idx="38">
                  <c:v>0.78</c:v>
                </c:pt>
                <c:pt idx="39">
                  <c:v>0.8</c:v>
                </c:pt>
                <c:pt idx="40">
                  <c:v>0.82</c:v>
                </c:pt>
                <c:pt idx="41">
                  <c:v>0.84</c:v>
                </c:pt>
                <c:pt idx="42">
                  <c:v>0.86</c:v>
                </c:pt>
                <c:pt idx="43">
                  <c:v>0.88</c:v>
                </c:pt>
                <c:pt idx="44">
                  <c:v>0.9</c:v>
                </c:pt>
                <c:pt idx="45">
                  <c:v>0.92</c:v>
                </c:pt>
                <c:pt idx="46">
                  <c:v>0.94</c:v>
                </c:pt>
                <c:pt idx="47">
                  <c:v>0.96</c:v>
                </c:pt>
                <c:pt idx="48">
                  <c:v>0.98</c:v>
                </c:pt>
                <c:pt idx="49">
                  <c:v>1</c:v>
                </c:pt>
              </c:numCache>
            </c:numRef>
          </c:xVal>
          <c:yVal>
            <c:numRef>
              <c:f>Calculations!$J$2:$J$51</c:f>
              <c:numCache>
                <c:formatCode>_("$"* #,##0.00_);_("$"* \(#,##0.00\);_("$"* "-"??_);_(@_)</c:formatCode>
                <c:ptCount val="50"/>
                <c:pt idx="0">
                  <c:v>55.615842466220514</c:v>
                </c:pt>
                <c:pt idx="1">
                  <c:v>27.057921233110257</c:v>
                </c:pt>
                <c:pt idx="2">
                  <c:v>17.538614155406837</c:v>
                </c:pt>
                <c:pt idx="3">
                  <c:v>12.778960616555127</c:v>
                </c:pt>
                <c:pt idx="4">
                  <c:v>9.923168493244102</c:v>
                </c:pt>
                <c:pt idx="5">
                  <c:v>8.0193070777034183</c:v>
                </c:pt>
                <c:pt idx="6">
                  <c:v>6.6594060666029318</c:v>
                </c:pt>
                <c:pt idx="7">
                  <c:v>5.6394803082775642</c:v>
                </c:pt>
                <c:pt idx="8">
                  <c:v>4.8462047184689467</c:v>
                </c:pt>
                <c:pt idx="9">
                  <c:v>4.211584246622051</c:v>
                </c:pt>
                <c:pt idx="10">
                  <c:v>3.6923493151109565</c:v>
                </c:pt>
                <c:pt idx="11">
                  <c:v>3.2596535388517087</c:v>
                </c:pt>
                <c:pt idx="12">
                  <c:v>2.8935263435554242</c:v>
                </c:pt>
                <c:pt idx="13">
                  <c:v>2.5797030333014654</c:v>
                </c:pt>
                <c:pt idx="14">
                  <c:v>2.3077228310813669</c:v>
                </c:pt>
                <c:pt idx="15">
                  <c:v>2.0697401541387817</c:v>
                </c:pt>
                <c:pt idx="16">
                  <c:v>1.8597554391894415</c:v>
                </c:pt>
                <c:pt idx="17">
                  <c:v>1.6731023592344729</c:v>
                </c:pt>
                <c:pt idx="18">
                  <c:v>1.506096971906342</c:v>
                </c:pt>
                <c:pt idx="19">
                  <c:v>1.3557921233110259</c:v>
                </c:pt>
                <c:pt idx="20">
                  <c:v>1.2198020222009771</c:v>
                </c:pt>
                <c:pt idx="21">
                  <c:v>1.0961746575554776</c:v>
                </c:pt>
                <c:pt idx="22">
                  <c:v>0.98329749853132631</c:v>
                </c:pt>
                <c:pt idx="23">
                  <c:v>0.87982676942585458</c:v>
                </c:pt>
                <c:pt idx="24">
                  <c:v>0.78463369864882004</c:v>
                </c:pt>
                <c:pt idx="25">
                  <c:v>0.69676317177771185</c:v>
                </c:pt>
                <c:pt idx="26">
                  <c:v>0.6154015728229818</c:v>
                </c:pt>
                <c:pt idx="27">
                  <c:v>0.53985151665073206</c:v>
                </c:pt>
                <c:pt idx="28">
                  <c:v>0.46951180918001789</c:v>
                </c:pt>
                <c:pt idx="29">
                  <c:v>0.40386141554068322</c:v>
                </c:pt>
                <c:pt idx="30">
                  <c:v>0.34244653116840373</c:v>
                </c:pt>
                <c:pt idx="31">
                  <c:v>0.28487007706939016</c:v>
                </c:pt>
                <c:pt idx="32">
                  <c:v>0.23078310503698507</c:v>
                </c:pt>
                <c:pt idx="33">
                  <c:v>0.17987771959472054</c:v>
                </c:pt>
                <c:pt idx="34">
                  <c:v>0.131881213320586</c:v>
                </c:pt>
                <c:pt idx="35">
                  <c:v>8.655117961723624E-2</c:v>
                </c:pt>
                <c:pt idx="36">
                  <c:v>4.3671418005959861E-2</c:v>
                </c:pt>
                <c:pt idx="37">
                  <c:v>3.0484859531707542E-3</c:v>
                </c:pt>
                <c:pt idx="38">
                  <c:v>-3.549121881485906E-2</c:v>
                </c:pt>
                <c:pt idx="39">
                  <c:v>-7.2103938344487695E-2</c:v>
                </c:pt>
                <c:pt idx="40">
                  <c:v>-0.10693067155559755</c:v>
                </c:pt>
                <c:pt idx="41">
                  <c:v>-0.14009898889951167</c:v>
                </c:pt>
                <c:pt idx="42">
                  <c:v>-0.17172459380882588</c:v>
                </c:pt>
                <c:pt idx="43">
                  <c:v>-0.20191267122226142</c:v>
                </c:pt>
                <c:pt idx="44">
                  <c:v>-0.23075905630621119</c:v>
                </c:pt>
                <c:pt idx="45">
                  <c:v>-0.25835125073433707</c:v>
                </c:pt>
                <c:pt idx="46">
                  <c:v>-0.28476930922935084</c:v>
                </c:pt>
                <c:pt idx="47">
                  <c:v>-0.31008661528707293</c:v>
                </c:pt>
                <c:pt idx="48">
                  <c:v>-0.33437056191386727</c:v>
                </c:pt>
                <c:pt idx="49">
                  <c:v>-0.35768315067559042</c:v>
                </c:pt>
              </c:numCache>
            </c:numRef>
          </c:yVal>
          <c:smooth val="0"/>
          <c:extLst>
            <c:ext xmlns:c16="http://schemas.microsoft.com/office/drawing/2014/chart" uri="{C3380CC4-5D6E-409C-BE32-E72D297353CC}">
              <c16:uniqueId val="{00000002-8C4B-4366-856E-9EADD23D6080}"/>
            </c:ext>
          </c:extLst>
        </c:ser>
        <c:ser>
          <c:idx val="4"/>
          <c:order val="4"/>
          <c:tx>
            <c:v>$20/MWh Electricity</c:v>
          </c:tx>
          <c:spPr>
            <a:ln w="19050" cap="rnd">
              <a:solidFill>
                <a:schemeClr val="accent5"/>
              </a:solidFill>
              <a:round/>
            </a:ln>
            <a:effectLst/>
          </c:spPr>
          <c:marker>
            <c:symbol val="none"/>
          </c:marker>
          <c:xVal>
            <c:numRef>
              <c:f>Calculations!$F$2:$F$51</c:f>
              <c:numCache>
                <c:formatCode>General</c:formatCode>
                <c:ptCount val="50"/>
                <c:pt idx="0">
                  <c:v>0.02</c:v>
                </c:pt>
                <c:pt idx="1">
                  <c:v>0.04</c:v>
                </c:pt>
                <c:pt idx="2">
                  <c:v>0.06</c:v>
                </c:pt>
                <c:pt idx="3">
                  <c:v>0.08</c:v>
                </c:pt>
                <c:pt idx="4">
                  <c:v>0.1</c:v>
                </c:pt>
                <c:pt idx="5">
                  <c:v>0.12</c:v>
                </c:pt>
                <c:pt idx="6">
                  <c:v>0.14000000000000001</c:v>
                </c:pt>
                <c:pt idx="7">
                  <c:v>0.16</c:v>
                </c:pt>
                <c:pt idx="8">
                  <c:v>0.18</c:v>
                </c:pt>
                <c:pt idx="9">
                  <c:v>0.2</c:v>
                </c:pt>
                <c:pt idx="10">
                  <c:v>0.22</c:v>
                </c:pt>
                <c:pt idx="11">
                  <c:v>0.24</c:v>
                </c:pt>
                <c:pt idx="12">
                  <c:v>0.26</c:v>
                </c:pt>
                <c:pt idx="13">
                  <c:v>0.28000000000000003</c:v>
                </c:pt>
                <c:pt idx="14">
                  <c:v>0.3</c:v>
                </c:pt>
                <c:pt idx="15">
                  <c:v>0.32</c:v>
                </c:pt>
                <c:pt idx="16">
                  <c:v>0.34</c:v>
                </c:pt>
                <c:pt idx="17">
                  <c:v>0.36</c:v>
                </c:pt>
                <c:pt idx="18">
                  <c:v>0.38</c:v>
                </c:pt>
                <c:pt idx="19">
                  <c:v>0.4</c:v>
                </c:pt>
                <c:pt idx="20">
                  <c:v>0.42</c:v>
                </c:pt>
                <c:pt idx="21">
                  <c:v>0.44</c:v>
                </c:pt>
                <c:pt idx="22">
                  <c:v>0.46</c:v>
                </c:pt>
                <c:pt idx="23">
                  <c:v>0.48</c:v>
                </c:pt>
                <c:pt idx="24">
                  <c:v>0.5</c:v>
                </c:pt>
                <c:pt idx="25">
                  <c:v>0.52</c:v>
                </c:pt>
                <c:pt idx="26">
                  <c:v>0.54</c:v>
                </c:pt>
                <c:pt idx="27">
                  <c:v>0.56000000000000005</c:v>
                </c:pt>
                <c:pt idx="28">
                  <c:v>0.57999999999999996</c:v>
                </c:pt>
                <c:pt idx="29">
                  <c:v>0.6</c:v>
                </c:pt>
                <c:pt idx="30">
                  <c:v>0.62</c:v>
                </c:pt>
                <c:pt idx="31">
                  <c:v>0.64</c:v>
                </c:pt>
                <c:pt idx="32">
                  <c:v>0.66</c:v>
                </c:pt>
                <c:pt idx="33">
                  <c:v>0.68</c:v>
                </c:pt>
                <c:pt idx="34">
                  <c:v>0.7</c:v>
                </c:pt>
                <c:pt idx="35">
                  <c:v>0.72</c:v>
                </c:pt>
                <c:pt idx="36">
                  <c:v>0.74</c:v>
                </c:pt>
                <c:pt idx="37">
                  <c:v>0.76</c:v>
                </c:pt>
                <c:pt idx="38">
                  <c:v>0.78</c:v>
                </c:pt>
                <c:pt idx="39">
                  <c:v>0.8</c:v>
                </c:pt>
                <c:pt idx="40">
                  <c:v>0.82</c:v>
                </c:pt>
                <c:pt idx="41">
                  <c:v>0.84</c:v>
                </c:pt>
                <c:pt idx="42">
                  <c:v>0.86</c:v>
                </c:pt>
                <c:pt idx="43">
                  <c:v>0.88</c:v>
                </c:pt>
                <c:pt idx="44">
                  <c:v>0.9</c:v>
                </c:pt>
                <c:pt idx="45">
                  <c:v>0.92</c:v>
                </c:pt>
                <c:pt idx="46">
                  <c:v>0.94</c:v>
                </c:pt>
                <c:pt idx="47">
                  <c:v>0.96</c:v>
                </c:pt>
                <c:pt idx="48">
                  <c:v>0.98</c:v>
                </c:pt>
                <c:pt idx="49">
                  <c:v>1</c:v>
                </c:pt>
              </c:numCache>
            </c:numRef>
          </c:xVal>
          <c:yVal>
            <c:numRef>
              <c:f>Calculations!$K$2:$K$51</c:f>
              <c:numCache>
                <c:formatCode>_("$"* #,##0.00_);_("$"* \(#,##0.00\);_("$"* "-"??_);_(@_)</c:formatCode>
                <c:ptCount val="50"/>
                <c:pt idx="0">
                  <c:v>55.115842466220514</c:v>
                </c:pt>
                <c:pt idx="1">
                  <c:v>26.557921233110257</c:v>
                </c:pt>
                <c:pt idx="2">
                  <c:v>17.03861415540684</c:v>
                </c:pt>
                <c:pt idx="3">
                  <c:v>12.278960616555128</c:v>
                </c:pt>
                <c:pt idx="4">
                  <c:v>9.4231684932441038</c:v>
                </c:pt>
                <c:pt idx="5">
                  <c:v>7.5193070777034183</c:v>
                </c:pt>
                <c:pt idx="6">
                  <c:v>6.15940606660293</c:v>
                </c:pt>
                <c:pt idx="7">
                  <c:v>5.1394803082775642</c:v>
                </c:pt>
                <c:pt idx="8">
                  <c:v>4.346204718468945</c:v>
                </c:pt>
                <c:pt idx="9">
                  <c:v>3.7115842466220514</c:v>
                </c:pt>
                <c:pt idx="10">
                  <c:v>3.1923493151109557</c:v>
                </c:pt>
                <c:pt idx="11">
                  <c:v>2.7596535388517096</c:v>
                </c:pt>
                <c:pt idx="12">
                  <c:v>2.3935263435554242</c:v>
                </c:pt>
                <c:pt idx="13">
                  <c:v>2.0797030333014654</c:v>
                </c:pt>
                <c:pt idx="14">
                  <c:v>1.8077228310813678</c:v>
                </c:pt>
                <c:pt idx="15">
                  <c:v>1.5697401541387817</c:v>
                </c:pt>
                <c:pt idx="16">
                  <c:v>1.3597554391894415</c:v>
                </c:pt>
                <c:pt idx="17">
                  <c:v>1.1731023592344729</c:v>
                </c:pt>
                <c:pt idx="18">
                  <c:v>1.0060969719063428</c:v>
                </c:pt>
                <c:pt idx="19">
                  <c:v>0.85579212331102594</c:v>
                </c:pt>
                <c:pt idx="20">
                  <c:v>0.71980202220097667</c:v>
                </c:pt>
                <c:pt idx="21">
                  <c:v>0.59617465755547761</c:v>
                </c:pt>
                <c:pt idx="22">
                  <c:v>0.48329749853132586</c:v>
                </c:pt>
                <c:pt idx="23">
                  <c:v>0.37982676942585414</c:v>
                </c:pt>
                <c:pt idx="24">
                  <c:v>0.28463369864882049</c:v>
                </c:pt>
                <c:pt idx="25">
                  <c:v>0.1967631717777123</c:v>
                </c:pt>
                <c:pt idx="26">
                  <c:v>0.11540157282298136</c:v>
                </c:pt>
                <c:pt idx="27">
                  <c:v>3.9851516650732499E-2</c:v>
                </c:pt>
                <c:pt idx="28">
                  <c:v>-3.0488190819982108E-2</c:v>
                </c:pt>
                <c:pt idx="29">
                  <c:v>-9.6138584459316778E-2</c:v>
                </c:pt>
                <c:pt idx="30">
                  <c:v>-0.15755346883159627</c:v>
                </c:pt>
                <c:pt idx="31">
                  <c:v>-0.2151299229306094</c:v>
                </c:pt>
                <c:pt idx="32">
                  <c:v>-0.26921689496301537</c:v>
                </c:pt>
                <c:pt idx="33">
                  <c:v>-0.32012228040527901</c:v>
                </c:pt>
                <c:pt idx="34">
                  <c:v>-0.36811878667941444</c:v>
                </c:pt>
                <c:pt idx="35">
                  <c:v>-0.41344882038276376</c:v>
                </c:pt>
                <c:pt idx="36">
                  <c:v>-0.45632858199404014</c:v>
                </c:pt>
                <c:pt idx="37">
                  <c:v>-0.4969515140468288</c:v>
                </c:pt>
                <c:pt idx="38">
                  <c:v>-0.53549121881485906</c:v>
                </c:pt>
                <c:pt idx="39">
                  <c:v>-0.57210393834448769</c:v>
                </c:pt>
                <c:pt idx="40">
                  <c:v>-0.60693067155559755</c:v>
                </c:pt>
                <c:pt idx="41">
                  <c:v>-0.64009898889951167</c:v>
                </c:pt>
                <c:pt idx="42">
                  <c:v>-0.67172459380882543</c:v>
                </c:pt>
                <c:pt idx="43">
                  <c:v>-0.70191267122226142</c:v>
                </c:pt>
                <c:pt idx="44">
                  <c:v>-0.73075905630621119</c:v>
                </c:pt>
                <c:pt idx="45">
                  <c:v>-0.75835125073433707</c:v>
                </c:pt>
                <c:pt idx="46">
                  <c:v>-0.78476930922935084</c:v>
                </c:pt>
                <c:pt idx="47">
                  <c:v>-0.81008661528707293</c:v>
                </c:pt>
                <c:pt idx="48">
                  <c:v>-0.83437056191386727</c:v>
                </c:pt>
                <c:pt idx="49">
                  <c:v>-0.85768315067558998</c:v>
                </c:pt>
              </c:numCache>
            </c:numRef>
          </c:yVal>
          <c:smooth val="0"/>
          <c:extLst>
            <c:ext xmlns:c16="http://schemas.microsoft.com/office/drawing/2014/chart" uri="{C3380CC4-5D6E-409C-BE32-E72D297353CC}">
              <c16:uniqueId val="{00000003-8C4B-4366-856E-9EADD23D6080}"/>
            </c:ext>
          </c:extLst>
        </c:ser>
        <c:ser>
          <c:idx val="5"/>
          <c:order val="5"/>
          <c:tx>
            <c:v>$10/MWh Electricity</c:v>
          </c:tx>
          <c:spPr>
            <a:ln w="19050" cap="rnd">
              <a:solidFill>
                <a:schemeClr val="accent6"/>
              </a:solidFill>
              <a:round/>
            </a:ln>
            <a:effectLst/>
          </c:spPr>
          <c:marker>
            <c:symbol val="none"/>
          </c:marker>
          <c:xVal>
            <c:numRef>
              <c:f>Calculations!$F$2:$F$51</c:f>
              <c:numCache>
                <c:formatCode>General</c:formatCode>
                <c:ptCount val="50"/>
                <c:pt idx="0">
                  <c:v>0.02</c:v>
                </c:pt>
                <c:pt idx="1">
                  <c:v>0.04</c:v>
                </c:pt>
                <c:pt idx="2">
                  <c:v>0.06</c:v>
                </c:pt>
                <c:pt idx="3">
                  <c:v>0.08</c:v>
                </c:pt>
                <c:pt idx="4">
                  <c:v>0.1</c:v>
                </c:pt>
                <c:pt idx="5">
                  <c:v>0.12</c:v>
                </c:pt>
                <c:pt idx="6">
                  <c:v>0.14000000000000001</c:v>
                </c:pt>
                <c:pt idx="7">
                  <c:v>0.16</c:v>
                </c:pt>
                <c:pt idx="8">
                  <c:v>0.18</c:v>
                </c:pt>
                <c:pt idx="9">
                  <c:v>0.2</c:v>
                </c:pt>
                <c:pt idx="10">
                  <c:v>0.22</c:v>
                </c:pt>
                <c:pt idx="11">
                  <c:v>0.24</c:v>
                </c:pt>
                <c:pt idx="12">
                  <c:v>0.26</c:v>
                </c:pt>
                <c:pt idx="13">
                  <c:v>0.28000000000000003</c:v>
                </c:pt>
                <c:pt idx="14">
                  <c:v>0.3</c:v>
                </c:pt>
                <c:pt idx="15">
                  <c:v>0.32</c:v>
                </c:pt>
                <c:pt idx="16">
                  <c:v>0.34</c:v>
                </c:pt>
                <c:pt idx="17">
                  <c:v>0.36</c:v>
                </c:pt>
                <c:pt idx="18">
                  <c:v>0.38</c:v>
                </c:pt>
                <c:pt idx="19">
                  <c:v>0.4</c:v>
                </c:pt>
                <c:pt idx="20">
                  <c:v>0.42</c:v>
                </c:pt>
                <c:pt idx="21">
                  <c:v>0.44</c:v>
                </c:pt>
                <c:pt idx="22">
                  <c:v>0.46</c:v>
                </c:pt>
                <c:pt idx="23">
                  <c:v>0.48</c:v>
                </c:pt>
                <c:pt idx="24">
                  <c:v>0.5</c:v>
                </c:pt>
                <c:pt idx="25">
                  <c:v>0.52</c:v>
                </c:pt>
                <c:pt idx="26">
                  <c:v>0.54</c:v>
                </c:pt>
                <c:pt idx="27">
                  <c:v>0.56000000000000005</c:v>
                </c:pt>
                <c:pt idx="28">
                  <c:v>0.57999999999999996</c:v>
                </c:pt>
                <c:pt idx="29">
                  <c:v>0.6</c:v>
                </c:pt>
                <c:pt idx="30">
                  <c:v>0.62</c:v>
                </c:pt>
                <c:pt idx="31">
                  <c:v>0.64</c:v>
                </c:pt>
                <c:pt idx="32">
                  <c:v>0.66</c:v>
                </c:pt>
                <c:pt idx="33">
                  <c:v>0.68</c:v>
                </c:pt>
                <c:pt idx="34">
                  <c:v>0.7</c:v>
                </c:pt>
                <c:pt idx="35">
                  <c:v>0.72</c:v>
                </c:pt>
                <c:pt idx="36">
                  <c:v>0.74</c:v>
                </c:pt>
                <c:pt idx="37">
                  <c:v>0.76</c:v>
                </c:pt>
                <c:pt idx="38">
                  <c:v>0.78</c:v>
                </c:pt>
                <c:pt idx="39">
                  <c:v>0.8</c:v>
                </c:pt>
                <c:pt idx="40">
                  <c:v>0.82</c:v>
                </c:pt>
                <c:pt idx="41">
                  <c:v>0.84</c:v>
                </c:pt>
                <c:pt idx="42">
                  <c:v>0.86</c:v>
                </c:pt>
                <c:pt idx="43">
                  <c:v>0.88</c:v>
                </c:pt>
                <c:pt idx="44">
                  <c:v>0.9</c:v>
                </c:pt>
                <c:pt idx="45">
                  <c:v>0.92</c:v>
                </c:pt>
                <c:pt idx="46">
                  <c:v>0.94</c:v>
                </c:pt>
                <c:pt idx="47">
                  <c:v>0.96</c:v>
                </c:pt>
                <c:pt idx="48">
                  <c:v>0.98</c:v>
                </c:pt>
                <c:pt idx="49">
                  <c:v>1</c:v>
                </c:pt>
              </c:numCache>
            </c:numRef>
          </c:xVal>
          <c:yVal>
            <c:numRef>
              <c:f>Calculations!$L$2:$L$51</c:f>
              <c:numCache>
                <c:formatCode>_("$"* #,##0.00_);_("$"* \(#,##0.00\);_("$"* "-"??_);_(@_)</c:formatCode>
                <c:ptCount val="50"/>
                <c:pt idx="0">
                  <c:v>54.615842466220514</c:v>
                </c:pt>
                <c:pt idx="1">
                  <c:v>26.057921233110257</c:v>
                </c:pt>
                <c:pt idx="2">
                  <c:v>16.53861415540684</c:v>
                </c:pt>
                <c:pt idx="3">
                  <c:v>11.778960616555128</c:v>
                </c:pt>
                <c:pt idx="4">
                  <c:v>8.9231684932441038</c:v>
                </c:pt>
                <c:pt idx="5">
                  <c:v>7.0193070777034201</c:v>
                </c:pt>
                <c:pt idx="6">
                  <c:v>5.6594060666029318</c:v>
                </c:pt>
                <c:pt idx="7">
                  <c:v>4.6394803082775642</c:v>
                </c:pt>
                <c:pt idx="8">
                  <c:v>3.8462047184689463</c:v>
                </c:pt>
                <c:pt idx="9">
                  <c:v>3.2115842466220514</c:v>
                </c:pt>
                <c:pt idx="10">
                  <c:v>2.6923493151109557</c:v>
                </c:pt>
                <c:pt idx="11">
                  <c:v>2.2596535388517087</c:v>
                </c:pt>
                <c:pt idx="12">
                  <c:v>1.8935263435554242</c:v>
                </c:pt>
                <c:pt idx="13">
                  <c:v>1.5797030333014646</c:v>
                </c:pt>
                <c:pt idx="14">
                  <c:v>1.3077228310813669</c:v>
                </c:pt>
                <c:pt idx="15">
                  <c:v>1.0697401541387817</c:v>
                </c:pt>
                <c:pt idx="16">
                  <c:v>0.85975543918944153</c:v>
                </c:pt>
                <c:pt idx="17">
                  <c:v>0.67310235923447248</c:v>
                </c:pt>
                <c:pt idx="18">
                  <c:v>0.50609697190634284</c:v>
                </c:pt>
                <c:pt idx="19">
                  <c:v>0.3557921233110255</c:v>
                </c:pt>
                <c:pt idx="20">
                  <c:v>0.21980202220097667</c:v>
                </c:pt>
                <c:pt idx="21">
                  <c:v>9.6174657555477605E-2</c:v>
                </c:pt>
                <c:pt idx="22">
                  <c:v>-1.6702501468673692E-2</c:v>
                </c:pt>
                <c:pt idx="23">
                  <c:v>-0.12017323057414542</c:v>
                </c:pt>
                <c:pt idx="24">
                  <c:v>-0.21536630135117951</c:v>
                </c:pt>
                <c:pt idx="25">
                  <c:v>-0.30323682822228815</c:v>
                </c:pt>
                <c:pt idx="26">
                  <c:v>-0.38459842717701864</c:v>
                </c:pt>
                <c:pt idx="27">
                  <c:v>-0.4601484833492675</c:v>
                </c:pt>
                <c:pt idx="28">
                  <c:v>-0.53048819081998211</c:v>
                </c:pt>
                <c:pt idx="29">
                  <c:v>-0.59613858445931633</c:v>
                </c:pt>
                <c:pt idx="30">
                  <c:v>-0.65755346883159627</c:v>
                </c:pt>
                <c:pt idx="31">
                  <c:v>-0.7151299229306094</c:v>
                </c:pt>
                <c:pt idx="32">
                  <c:v>-0.76921689496301493</c:v>
                </c:pt>
                <c:pt idx="33">
                  <c:v>-0.82012228040527946</c:v>
                </c:pt>
                <c:pt idx="34">
                  <c:v>-0.868118786679414</c:v>
                </c:pt>
                <c:pt idx="35">
                  <c:v>-0.91344882038276376</c:v>
                </c:pt>
                <c:pt idx="36">
                  <c:v>-0.95632858199404014</c:v>
                </c:pt>
                <c:pt idx="37">
                  <c:v>-0.9969515140468288</c:v>
                </c:pt>
                <c:pt idx="38">
                  <c:v>-1.0354912188148591</c:v>
                </c:pt>
                <c:pt idx="39">
                  <c:v>-1.0721039383444873</c:v>
                </c:pt>
                <c:pt idx="40">
                  <c:v>-1.1069306715555975</c:v>
                </c:pt>
                <c:pt idx="41">
                  <c:v>-1.1400989888995119</c:v>
                </c:pt>
                <c:pt idx="42">
                  <c:v>-1.1717245938088257</c:v>
                </c:pt>
                <c:pt idx="43">
                  <c:v>-1.2019126712222614</c:v>
                </c:pt>
                <c:pt idx="44">
                  <c:v>-1.230759056306211</c:v>
                </c:pt>
                <c:pt idx="45">
                  <c:v>-1.2583512507343373</c:v>
                </c:pt>
                <c:pt idx="46">
                  <c:v>-1.2847693092293508</c:v>
                </c:pt>
                <c:pt idx="47">
                  <c:v>-1.3100866152870732</c:v>
                </c:pt>
                <c:pt idx="48">
                  <c:v>-1.3343705619138673</c:v>
                </c:pt>
                <c:pt idx="49">
                  <c:v>-1.35768315067559</c:v>
                </c:pt>
              </c:numCache>
            </c:numRef>
          </c:yVal>
          <c:smooth val="0"/>
          <c:extLst>
            <c:ext xmlns:c16="http://schemas.microsoft.com/office/drawing/2014/chart" uri="{C3380CC4-5D6E-409C-BE32-E72D297353CC}">
              <c16:uniqueId val="{00000004-8C4B-4366-856E-9EADD23D6080}"/>
            </c:ext>
          </c:extLst>
        </c:ser>
        <c:ser>
          <c:idx val="6"/>
          <c:order val="6"/>
          <c:tx>
            <c:v>$0/MWh Electricity</c:v>
          </c:tx>
          <c:spPr>
            <a:ln w="19050" cap="rnd">
              <a:solidFill>
                <a:schemeClr val="accent1">
                  <a:lumMod val="60000"/>
                </a:schemeClr>
              </a:solidFill>
              <a:round/>
            </a:ln>
            <a:effectLst/>
          </c:spPr>
          <c:marker>
            <c:symbol val="none"/>
          </c:marker>
          <c:xVal>
            <c:numRef>
              <c:f>Calculations!$F$2:$F$51</c:f>
              <c:numCache>
                <c:formatCode>General</c:formatCode>
                <c:ptCount val="50"/>
                <c:pt idx="0">
                  <c:v>0.02</c:v>
                </c:pt>
                <c:pt idx="1">
                  <c:v>0.04</c:v>
                </c:pt>
                <c:pt idx="2">
                  <c:v>0.06</c:v>
                </c:pt>
                <c:pt idx="3">
                  <c:v>0.08</c:v>
                </c:pt>
                <c:pt idx="4">
                  <c:v>0.1</c:v>
                </c:pt>
                <c:pt idx="5">
                  <c:v>0.12</c:v>
                </c:pt>
                <c:pt idx="6">
                  <c:v>0.14000000000000001</c:v>
                </c:pt>
                <c:pt idx="7">
                  <c:v>0.16</c:v>
                </c:pt>
                <c:pt idx="8">
                  <c:v>0.18</c:v>
                </c:pt>
                <c:pt idx="9">
                  <c:v>0.2</c:v>
                </c:pt>
                <c:pt idx="10">
                  <c:v>0.22</c:v>
                </c:pt>
                <c:pt idx="11">
                  <c:v>0.24</c:v>
                </c:pt>
                <c:pt idx="12">
                  <c:v>0.26</c:v>
                </c:pt>
                <c:pt idx="13">
                  <c:v>0.28000000000000003</c:v>
                </c:pt>
                <c:pt idx="14">
                  <c:v>0.3</c:v>
                </c:pt>
                <c:pt idx="15">
                  <c:v>0.32</c:v>
                </c:pt>
                <c:pt idx="16">
                  <c:v>0.34</c:v>
                </c:pt>
                <c:pt idx="17">
                  <c:v>0.36</c:v>
                </c:pt>
                <c:pt idx="18">
                  <c:v>0.38</c:v>
                </c:pt>
                <c:pt idx="19">
                  <c:v>0.4</c:v>
                </c:pt>
                <c:pt idx="20">
                  <c:v>0.42</c:v>
                </c:pt>
                <c:pt idx="21">
                  <c:v>0.44</c:v>
                </c:pt>
                <c:pt idx="22">
                  <c:v>0.46</c:v>
                </c:pt>
                <c:pt idx="23">
                  <c:v>0.48</c:v>
                </c:pt>
                <c:pt idx="24">
                  <c:v>0.5</c:v>
                </c:pt>
                <c:pt idx="25">
                  <c:v>0.52</c:v>
                </c:pt>
                <c:pt idx="26">
                  <c:v>0.54</c:v>
                </c:pt>
                <c:pt idx="27">
                  <c:v>0.56000000000000005</c:v>
                </c:pt>
                <c:pt idx="28">
                  <c:v>0.57999999999999996</c:v>
                </c:pt>
                <c:pt idx="29">
                  <c:v>0.6</c:v>
                </c:pt>
                <c:pt idx="30">
                  <c:v>0.62</c:v>
                </c:pt>
                <c:pt idx="31">
                  <c:v>0.64</c:v>
                </c:pt>
                <c:pt idx="32">
                  <c:v>0.66</c:v>
                </c:pt>
                <c:pt idx="33">
                  <c:v>0.68</c:v>
                </c:pt>
                <c:pt idx="34">
                  <c:v>0.7</c:v>
                </c:pt>
                <c:pt idx="35">
                  <c:v>0.72</c:v>
                </c:pt>
                <c:pt idx="36">
                  <c:v>0.74</c:v>
                </c:pt>
                <c:pt idx="37">
                  <c:v>0.76</c:v>
                </c:pt>
                <c:pt idx="38">
                  <c:v>0.78</c:v>
                </c:pt>
                <c:pt idx="39">
                  <c:v>0.8</c:v>
                </c:pt>
                <c:pt idx="40">
                  <c:v>0.82</c:v>
                </c:pt>
                <c:pt idx="41">
                  <c:v>0.84</c:v>
                </c:pt>
                <c:pt idx="42">
                  <c:v>0.86</c:v>
                </c:pt>
                <c:pt idx="43">
                  <c:v>0.88</c:v>
                </c:pt>
                <c:pt idx="44">
                  <c:v>0.9</c:v>
                </c:pt>
                <c:pt idx="45">
                  <c:v>0.92</c:v>
                </c:pt>
                <c:pt idx="46">
                  <c:v>0.94</c:v>
                </c:pt>
                <c:pt idx="47">
                  <c:v>0.96</c:v>
                </c:pt>
                <c:pt idx="48">
                  <c:v>0.98</c:v>
                </c:pt>
                <c:pt idx="49">
                  <c:v>1</c:v>
                </c:pt>
              </c:numCache>
            </c:numRef>
          </c:xVal>
          <c:yVal>
            <c:numRef>
              <c:f>Calculations!$M$2:$M$51</c:f>
              <c:numCache>
                <c:formatCode>_("$"* #,##0.00_);_("$"* \(#,##0.00\);_("$"* "-"??_);_(@_)</c:formatCode>
                <c:ptCount val="50"/>
                <c:pt idx="0">
                  <c:v>54.115842466220514</c:v>
                </c:pt>
                <c:pt idx="1">
                  <c:v>25.557921233110257</c:v>
                </c:pt>
                <c:pt idx="2">
                  <c:v>16.038614155406837</c:v>
                </c:pt>
                <c:pt idx="3">
                  <c:v>11.278960616555128</c:v>
                </c:pt>
                <c:pt idx="4">
                  <c:v>8.4231684932441038</c:v>
                </c:pt>
                <c:pt idx="5">
                  <c:v>6.5193070777034183</c:v>
                </c:pt>
                <c:pt idx="6">
                  <c:v>5.1594060666029318</c:v>
                </c:pt>
                <c:pt idx="7">
                  <c:v>4.1394803082775642</c:v>
                </c:pt>
                <c:pt idx="8">
                  <c:v>3.3462047184689463</c:v>
                </c:pt>
                <c:pt idx="9">
                  <c:v>2.7115842466220514</c:v>
                </c:pt>
                <c:pt idx="10">
                  <c:v>2.1923493151109557</c:v>
                </c:pt>
                <c:pt idx="11">
                  <c:v>1.7596535388517087</c:v>
                </c:pt>
                <c:pt idx="12">
                  <c:v>1.3935263435554242</c:v>
                </c:pt>
                <c:pt idx="13">
                  <c:v>1.0797030333014654</c:v>
                </c:pt>
                <c:pt idx="14">
                  <c:v>0.80772283108136733</c:v>
                </c:pt>
                <c:pt idx="15">
                  <c:v>0.56974015413878165</c:v>
                </c:pt>
                <c:pt idx="16">
                  <c:v>0.35975543918944153</c:v>
                </c:pt>
                <c:pt idx="17">
                  <c:v>0.17310235923447292</c:v>
                </c:pt>
                <c:pt idx="18">
                  <c:v>6.0969719063423966E-3</c:v>
                </c:pt>
                <c:pt idx="19">
                  <c:v>-0.1442078766889745</c:v>
                </c:pt>
                <c:pt idx="20">
                  <c:v>-0.28019797779902333</c:v>
                </c:pt>
                <c:pt idx="21">
                  <c:v>-0.40382534244452239</c:v>
                </c:pt>
                <c:pt idx="22">
                  <c:v>-0.51670250146867369</c:v>
                </c:pt>
                <c:pt idx="23">
                  <c:v>-0.62017323057414586</c:v>
                </c:pt>
                <c:pt idx="24">
                  <c:v>-0.71536630135117951</c:v>
                </c:pt>
                <c:pt idx="25">
                  <c:v>-0.80323682822228815</c:v>
                </c:pt>
                <c:pt idx="26">
                  <c:v>-0.88459842717701864</c:v>
                </c:pt>
                <c:pt idx="27">
                  <c:v>-0.9601484833492675</c:v>
                </c:pt>
                <c:pt idx="28">
                  <c:v>-1.0304881908199821</c:v>
                </c:pt>
                <c:pt idx="29">
                  <c:v>-1.0961385844593166</c:v>
                </c:pt>
                <c:pt idx="30">
                  <c:v>-1.1575534688315963</c:v>
                </c:pt>
                <c:pt idx="31">
                  <c:v>-1.2151299229306094</c:v>
                </c:pt>
                <c:pt idx="32">
                  <c:v>-1.2692168949630152</c:v>
                </c:pt>
                <c:pt idx="33">
                  <c:v>-1.3201222804052795</c:v>
                </c:pt>
                <c:pt idx="34">
                  <c:v>-1.3681187866794142</c:v>
                </c:pt>
                <c:pt idx="35">
                  <c:v>-1.4134488203827638</c:v>
                </c:pt>
                <c:pt idx="36">
                  <c:v>-1.4563285819940404</c:v>
                </c:pt>
                <c:pt idx="37">
                  <c:v>-1.496951514046829</c:v>
                </c:pt>
                <c:pt idx="38">
                  <c:v>-1.5354912188148588</c:v>
                </c:pt>
                <c:pt idx="39">
                  <c:v>-1.5721039383444875</c:v>
                </c:pt>
                <c:pt idx="40">
                  <c:v>-1.6069306715555975</c:v>
                </c:pt>
                <c:pt idx="41">
                  <c:v>-1.6400989888995119</c:v>
                </c:pt>
                <c:pt idx="42">
                  <c:v>-1.6717245938088254</c:v>
                </c:pt>
                <c:pt idx="43">
                  <c:v>-1.7019126712222614</c:v>
                </c:pt>
                <c:pt idx="44">
                  <c:v>-1.730759056306211</c:v>
                </c:pt>
                <c:pt idx="45">
                  <c:v>-1.7583512507343371</c:v>
                </c:pt>
                <c:pt idx="46">
                  <c:v>-1.7847693092293508</c:v>
                </c:pt>
                <c:pt idx="47">
                  <c:v>-1.8100866152870732</c:v>
                </c:pt>
                <c:pt idx="48">
                  <c:v>-1.8343705619138673</c:v>
                </c:pt>
                <c:pt idx="49">
                  <c:v>-1.85768315067559</c:v>
                </c:pt>
              </c:numCache>
            </c:numRef>
          </c:yVal>
          <c:smooth val="0"/>
          <c:extLst>
            <c:ext xmlns:c16="http://schemas.microsoft.com/office/drawing/2014/chart" uri="{C3380CC4-5D6E-409C-BE32-E72D297353CC}">
              <c16:uniqueId val="{00000005-8C4B-4366-856E-9EADD23D6080}"/>
            </c:ext>
          </c:extLst>
        </c:ser>
        <c:ser>
          <c:idx val="14"/>
          <c:order val="7"/>
          <c:tx>
            <c:strRef>
              <c:f>Calculations!$AG$1</c:f>
              <c:strCache>
                <c:ptCount val="1"/>
                <c:pt idx="0">
                  <c:v>Target Price</c:v>
                </c:pt>
              </c:strCache>
            </c:strRef>
          </c:tx>
          <c:spPr>
            <a:ln w="19050" cap="rnd">
              <a:solidFill>
                <a:srgbClr val="FF0000"/>
              </a:solidFill>
              <a:prstDash val="dash"/>
              <a:round/>
            </a:ln>
            <a:effectLst/>
          </c:spPr>
          <c:marker>
            <c:symbol val="none"/>
          </c:marker>
          <c:xVal>
            <c:numRef>
              <c:f>Calculations!$AF$2:$AF$3</c:f>
              <c:numCache>
                <c:formatCode>General</c:formatCode>
                <c:ptCount val="2"/>
                <c:pt idx="0">
                  <c:v>0</c:v>
                </c:pt>
                <c:pt idx="1">
                  <c:v>1</c:v>
                </c:pt>
              </c:numCache>
            </c:numRef>
          </c:xVal>
          <c:yVal>
            <c:numRef>
              <c:f>Calculations!$AG$2:$AG$3</c:f>
              <c:numCache>
                <c:formatCode>_("$"* #,##0.00_);_("$"* \(#,##0.00\);_("$"* "-"??_);_(@_)</c:formatCode>
                <c:ptCount val="2"/>
                <c:pt idx="0">
                  <c:v>1.25</c:v>
                </c:pt>
                <c:pt idx="1">
                  <c:v>1.25</c:v>
                </c:pt>
              </c:numCache>
            </c:numRef>
          </c:yVal>
          <c:smooth val="0"/>
          <c:extLst>
            <c:ext xmlns:c16="http://schemas.microsoft.com/office/drawing/2014/chart" uri="{C3380CC4-5D6E-409C-BE32-E72D297353CC}">
              <c16:uniqueId val="{0000000E-8C4B-4366-856E-9EADD23D6080}"/>
            </c:ext>
          </c:extLst>
        </c:ser>
        <c:ser>
          <c:idx val="7"/>
          <c:order val="8"/>
          <c:tx>
            <c:strRef>
              <c:f>Calculations!$O$1</c:f>
              <c:strCache>
                <c:ptCount val="1"/>
                <c:pt idx="0">
                  <c:v>Princeton ZERO Lab, Wind and Solar [PNW]</c:v>
                </c:pt>
              </c:strCache>
            </c:strRef>
          </c:tx>
          <c:spPr>
            <a:ln w="19050" cap="rnd">
              <a:noFill/>
              <a:round/>
            </a:ln>
            <a:effectLst/>
          </c:spPr>
          <c:marker>
            <c:symbol val="square"/>
            <c:size val="8"/>
            <c:spPr>
              <a:solidFill>
                <a:srgbClr val="00B0F0"/>
              </a:solidFill>
              <a:ln w="9525">
                <a:noFill/>
              </a:ln>
              <a:effectLst/>
            </c:spPr>
          </c:marker>
          <c:xVal>
            <c:numRef>
              <c:f>Calculations!$N$2:$N$3</c:f>
              <c:numCache>
                <c:formatCode>General</c:formatCode>
                <c:ptCount val="2"/>
                <c:pt idx="0">
                  <c:v>0.92</c:v>
                </c:pt>
              </c:numCache>
            </c:numRef>
          </c:xVal>
          <c:yVal>
            <c:numRef>
              <c:f>Calculations!$O$2:$O$3</c:f>
              <c:numCache>
                <c:formatCode>General</c:formatCode>
                <c:ptCount val="2"/>
                <c:pt idx="0" formatCode="_(&quot;$&quot;* #,##0.00_);_(&quot;$&quot;* \(#,##0.00\);_(&quot;$&quot;* &quot;-&quot;??_);_(@_)">
                  <c:v>-0.16035125073433676</c:v>
                </c:pt>
              </c:numCache>
            </c:numRef>
          </c:yVal>
          <c:smooth val="0"/>
          <c:extLst>
            <c:ext xmlns:c16="http://schemas.microsoft.com/office/drawing/2014/chart" uri="{C3380CC4-5D6E-409C-BE32-E72D297353CC}">
              <c16:uniqueId val="{00000006-8C4B-4366-856E-9EADD23D6080}"/>
            </c:ext>
          </c:extLst>
        </c:ser>
        <c:ser>
          <c:idx val="8"/>
          <c:order val="9"/>
          <c:tx>
            <c:strRef>
              <c:f>Calculations!$Q$1</c:f>
              <c:strCache>
                <c:ptCount val="1"/>
                <c:pt idx="0">
                  <c:v>Princeton ZERO Lab, Solar and Batteries [N. CA]</c:v>
                </c:pt>
              </c:strCache>
            </c:strRef>
          </c:tx>
          <c:spPr>
            <a:ln w="19050" cap="rnd">
              <a:noFill/>
              <a:round/>
            </a:ln>
            <a:effectLst/>
          </c:spPr>
          <c:marker>
            <c:symbol val="square"/>
            <c:size val="8"/>
            <c:spPr>
              <a:solidFill>
                <a:schemeClr val="accent2"/>
              </a:solidFill>
              <a:ln w="9525">
                <a:noFill/>
              </a:ln>
              <a:effectLst/>
            </c:spPr>
          </c:marker>
          <c:xVal>
            <c:numRef>
              <c:f>Calculations!$P$2:$P$3</c:f>
              <c:numCache>
                <c:formatCode>General</c:formatCode>
                <c:ptCount val="2"/>
                <c:pt idx="0">
                  <c:v>0.71</c:v>
                </c:pt>
              </c:numCache>
            </c:numRef>
          </c:xVal>
          <c:yVal>
            <c:numRef>
              <c:f>Calculations!$Q$2:$Q$3</c:f>
              <c:numCache>
                <c:formatCode>General</c:formatCode>
                <c:ptCount val="2"/>
                <c:pt idx="0" formatCode="_(&quot;$&quot;* #,##0.00_);_(&quot;$&quot;* \(#,##0.00\);_(&quot;$&quot;* &quot;-&quot;??_);_(@_)">
                  <c:v>0.68739697087945117</c:v>
                </c:pt>
              </c:numCache>
            </c:numRef>
          </c:yVal>
          <c:smooth val="0"/>
          <c:extLst>
            <c:ext xmlns:c16="http://schemas.microsoft.com/office/drawing/2014/chart" uri="{C3380CC4-5D6E-409C-BE32-E72D297353CC}">
              <c16:uniqueId val="{00000007-8C4B-4366-856E-9EADD23D6080}"/>
            </c:ext>
          </c:extLst>
        </c:ser>
        <c:ser>
          <c:idx val="0"/>
          <c:order val="10"/>
          <c:tx>
            <c:strRef>
              <c:f>Calculations!$S$1</c:f>
              <c:strCache>
                <c:ptCount val="1"/>
                <c:pt idx="0">
                  <c:v>Electric Hydrogen, Wind and Solar [Avg.]</c:v>
                </c:pt>
              </c:strCache>
            </c:strRef>
          </c:tx>
          <c:spPr>
            <a:ln w="19050" cap="rnd">
              <a:noFill/>
              <a:round/>
            </a:ln>
            <a:effectLst/>
          </c:spPr>
          <c:marker>
            <c:symbol val="diamond"/>
            <c:size val="9"/>
            <c:spPr>
              <a:solidFill>
                <a:srgbClr val="00B050"/>
              </a:solidFill>
              <a:ln w="9525">
                <a:noFill/>
              </a:ln>
              <a:effectLst/>
            </c:spPr>
          </c:marker>
          <c:xVal>
            <c:numRef>
              <c:f>Calculations!$R$2:$R$3</c:f>
              <c:numCache>
                <c:formatCode>General</c:formatCode>
                <c:ptCount val="2"/>
                <c:pt idx="0">
                  <c:v>0.7</c:v>
                </c:pt>
              </c:numCache>
            </c:numRef>
          </c:xVal>
          <c:yVal>
            <c:numRef>
              <c:f>Calculations!$S$2:$S$3</c:f>
              <c:numCache>
                <c:formatCode>General</c:formatCode>
                <c:ptCount val="2"/>
                <c:pt idx="0" formatCode="_(&quot;$&quot;* #,##0.00_);_(&quot;$&quot;* \(#,##0.00\);_(&quot;$&quot;* &quot;-&quot;??_);_(@_)">
                  <c:v>-0.11811878667941444</c:v>
                </c:pt>
              </c:numCache>
            </c:numRef>
          </c:yVal>
          <c:smooth val="0"/>
          <c:extLst>
            <c:ext xmlns:c16="http://schemas.microsoft.com/office/drawing/2014/chart" uri="{C3380CC4-5D6E-409C-BE32-E72D297353CC}">
              <c16:uniqueId val="{00000008-8C4B-4366-856E-9EADD23D6080}"/>
            </c:ext>
          </c:extLst>
        </c:ser>
        <c:ser>
          <c:idx val="9"/>
          <c:order val="11"/>
          <c:tx>
            <c:strRef>
              <c:f>Calculations!$U$1</c:f>
              <c:strCache>
                <c:ptCount val="1"/>
                <c:pt idx="0">
                  <c:v>Energy Innovation LLC, Wind and Solar [Avg.]</c:v>
                </c:pt>
              </c:strCache>
            </c:strRef>
          </c:tx>
          <c:spPr>
            <a:ln w="19050" cap="rnd">
              <a:noFill/>
              <a:round/>
            </a:ln>
            <a:effectLst/>
          </c:spPr>
          <c:marker>
            <c:symbol val="triangle"/>
            <c:size val="8"/>
            <c:spPr>
              <a:solidFill>
                <a:srgbClr val="CC00FF"/>
              </a:solidFill>
              <a:ln w="9525">
                <a:solidFill>
                  <a:srgbClr val="CC00FF"/>
                </a:solidFill>
              </a:ln>
              <a:effectLst/>
            </c:spPr>
          </c:marker>
          <c:xVal>
            <c:numRef>
              <c:f>Calculations!$T$2:$T$3</c:f>
              <c:numCache>
                <c:formatCode>General</c:formatCode>
                <c:ptCount val="2"/>
                <c:pt idx="0">
                  <c:v>0.85</c:v>
                </c:pt>
              </c:numCache>
            </c:numRef>
          </c:xVal>
          <c:yVal>
            <c:numRef>
              <c:f>Calculations!$U$2:$U$3</c:f>
              <c:numCache>
                <c:formatCode>General</c:formatCode>
                <c:ptCount val="2"/>
                <c:pt idx="0" formatCode="_(&quot;$&quot;* #,##0.00_);_(&quot;$&quot;* \(#,##0.00\);_(&quot;$&quot;* &quot;-&quot;??_);_(@_)">
                  <c:v>-0.58109782432422374</c:v>
                </c:pt>
              </c:numCache>
            </c:numRef>
          </c:yVal>
          <c:smooth val="0"/>
          <c:extLst>
            <c:ext xmlns:c16="http://schemas.microsoft.com/office/drawing/2014/chart" uri="{C3380CC4-5D6E-409C-BE32-E72D297353CC}">
              <c16:uniqueId val="{00000009-8C4B-4366-856E-9EADD23D6080}"/>
            </c:ext>
          </c:extLst>
        </c:ser>
        <c:ser>
          <c:idx val="17"/>
          <c:order val="12"/>
          <c:tx>
            <c:strRef>
              <c:f>Calculations!$AI$1</c:f>
              <c:strCache>
                <c:ptCount val="1"/>
                <c:pt idx="0">
                  <c:v>Clean Energy Developer 1, Wind and Solar [TX]</c:v>
                </c:pt>
              </c:strCache>
            </c:strRef>
          </c:tx>
          <c:spPr>
            <a:ln w="19050" cap="rnd">
              <a:noFill/>
              <a:round/>
            </a:ln>
            <a:effectLst/>
          </c:spPr>
          <c:marker>
            <c:symbol val="circle"/>
            <c:size val="7"/>
            <c:spPr>
              <a:solidFill>
                <a:schemeClr val="bg2">
                  <a:lumMod val="50000"/>
                </a:schemeClr>
              </a:solidFill>
              <a:ln w="9525">
                <a:noFill/>
              </a:ln>
              <a:effectLst/>
            </c:spPr>
          </c:marker>
          <c:xVal>
            <c:numRef>
              <c:f>Calculations!$AH$2:$AH$3</c:f>
              <c:numCache>
                <c:formatCode>General</c:formatCode>
                <c:ptCount val="2"/>
                <c:pt idx="0" formatCode="0.00">
                  <c:v>0.75</c:v>
                </c:pt>
              </c:numCache>
            </c:numRef>
          </c:xVal>
          <c:yVal>
            <c:numRef>
              <c:f>Calculations!$AI$2:$AI$3</c:f>
              <c:numCache>
                <c:formatCode>General</c:formatCode>
                <c:ptCount val="2"/>
                <c:pt idx="0" formatCode="_(&quot;$&quot;* #,##0.00_);_(&quot;$&quot;* \(#,##0.00\);_(&quot;$&quot;* &quot;-&quot;??_);_(@_)">
                  <c:v>-0.42691086756745289</c:v>
                </c:pt>
              </c:numCache>
            </c:numRef>
          </c:yVal>
          <c:smooth val="0"/>
          <c:extLst>
            <c:ext xmlns:c16="http://schemas.microsoft.com/office/drawing/2014/chart" uri="{C3380CC4-5D6E-409C-BE32-E72D297353CC}">
              <c16:uniqueId val="{00000000-9E0C-4351-B8A3-43CB626CB441}"/>
            </c:ext>
          </c:extLst>
        </c:ser>
        <c:ser>
          <c:idx val="22"/>
          <c:order val="13"/>
          <c:tx>
            <c:strRef>
              <c:f>Calculations!$AS$1</c:f>
              <c:strCache>
                <c:ptCount val="1"/>
                <c:pt idx="0">
                  <c:v>MIT Energy Initiative, Wind and Solar [TX]</c:v>
                </c:pt>
              </c:strCache>
            </c:strRef>
          </c:tx>
          <c:spPr>
            <a:ln w="19050" cap="rnd">
              <a:noFill/>
              <a:round/>
            </a:ln>
            <a:effectLst/>
          </c:spPr>
          <c:marker>
            <c:symbol val="square"/>
            <c:size val="10"/>
            <c:spPr>
              <a:blipFill>
                <a:blip xmlns:r="http://schemas.openxmlformats.org/officeDocument/2006/relationships" r:embed="rId3"/>
                <a:stretch>
                  <a:fillRect/>
                </a:stretch>
              </a:blipFill>
              <a:ln w="9525">
                <a:noFill/>
              </a:ln>
              <a:effectLst/>
            </c:spPr>
          </c:marker>
          <c:xVal>
            <c:numRef>
              <c:f>Calculations!$AR$2:$AR$3</c:f>
              <c:numCache>
                <c:formatCode>General</c:formatCode>
                <c:ptCount val="2"/>
                <c:pt idx="0">
                  <c:v>0.83</c:v>
                </c:pt>
              </c:numCache>
            </c:numRef>
          </c:xVal>
          <c:yVal>
            <c:numRef>
              <c:f>Calculations!$AS$2:$AS$3</c:f>
              <c:numCache>
                <c:formatCode>General</c:formatCode>
                <c:ptCount val="2"/>
                <c:pt idx="0" formatCode="_(&quot;$&quot;* #,##0.00_);_(&quot;$&quot;* \(#,##0.00\);_(&quot;$&quot;* &quot;-&quot;??_);_(@_)">
                  <c:v>-0.27371463936818019</c:v>
                </c:pt>
              </c:numCache>
            </c:numRef>
          </c:yVal>
          <c:smooth val="0"/>
          <c:extLst>
            <c:ext xmlns:c16="http://schemas.microsoft.com/office/drawing/2014/chart" uri="{C3380CC4-5D6E-409C-BE32-E72D297353CC}">
              <c16:uniqueId val="{00000001-E784-4CCE-91E9-EB4C6A7AEDF1}"/>
            </c:ext>
          </c:extLst>
        </c:ser>
        <c:ser>
          <c:idx val="21"/>
          <c:order val="14"/>
          <c:tx>
            <c:strRef>
              <c:f>Calculations!$AQ$1</c:f>
              <c:strCache>
                <c:ptCount val="1"/>
                <c:pt idx="0">
                  <c:v>MIT Energy Initiative, Wind and Solar [FL]</c:v>
                </c:pt>
              </c:strCache>
            </c:strRef>
          </c:tx>
          <c:spPr>
            <a:ln w="19050" cap="rnd">
              <a:noFill/>
              <a:round/>
            </a:ln>
            <a:effectLst/>
          </c:spPr>
          <c:marker>
            <c:symbol val="square"/>
            <c:size val="10"/>
            <c:spPr>
              <a:blipFill>
                <a:blip xmlns:r="http://schemas.openxmlformats.org/officeDocument/2006/relationships" r:embed="rId4"/>
                <a:stretch>
                  <a:fillRect/>
                </a:stretch>
              </a:blipFill>
              <a:ln w="9525">
                <a:noFill/>
              </a:ln>
              <a:effectLst/>
            </c:spPr>
          </c:marker>
          <c:xVal>
            <c:numRef>
              <c:f>Calculations!$AP$2:$AP$3</c:f>
              <c:numCache>
                <c:formatCode>General</c:formatCode>
                <c:ptCount val="2"/>
                <c:pt idx="0">
                  <c:v>0.81</c:v>
                </c:pt>
              </c:numCache>
            </c:numRef>
          </c:xVal>
          <c:yVal>
            <c:numRef>
              <c:f>Calculations!$AQ$2:$AQ$3</c:f>
              <c:numCache>
                <c:formatCode>General</c:formatCode>
                <c:ptCount val="2"/>
                <c:pt idx="0" formatCode="_(&quot;$&quot;* #,##0.00_);_(&quot;$&quot;* \(#,##0.00\);_(&quot;$&quot;* &quot;-&quot;??_);_(@_)">
                  <c:v>0.46026771521532162</c:v>
                </c:pt>
              </c:numCache>
            </c:numRef>
          </c:yVal>
          <c:smooth val="0"/>
          <c:extLst>
            <c:ext xmlns:c16="http://schemas.microsoft.com/office/drawing/2014/chart" uri="{C3380CC4-5D6E-409C-BE32-E72D297353CC}">
              <c16:uniqueId val="{00000000-E784-4CCE-91E9-EB4C6A7AEDF1}"/>
            </c:ext>
          </c:extLst>
        </c:ser>
        <c:ser>
          <c:idx val="11"/>
          <c:order val="15"/>
          <c:tx>
            <c:strRef>
              <c:f>Calculations!$Y$1</c:f>
              <c:strCache>
                <c:ptCount val="1"/>
                <c:pt idx="0">
                  <c:v>Wood Mackenzie, Wind and Solar [TX]</c:v>
                </c:pt>
              </c:strCache>
            </c:strRef>
          </c:tx>
          <c:spPr>
            <a:ln w="19050" cap="rnd">
              <a:noFill/>
              <a:round/>
            </a:ln>
            <a:effectLst/>
          </c:spPr>
          <c:marker>
            <c:symbol val="triangle"/>
            <c:size val="8"/>
            <c:spPr>
              <a:pattFill prst="narHorz">
                <a:fgClr>
                  <a:srgbClr val="002060"/>
                </a:fgClr>
                <a:bgClr>
                  <a:schemeClr val="bg1"/>
                </a:bgClr>
              </a:pattFill>
              <a:ln w="19050">
                <a:solidFill>
                  <a:srgbClr val="002060"/>
                </a:solidFill>
              </a:ln>
              <a:effectLst/>
            </c:spPr>
          </c:marker>
          <c:xVal>
            <c:numRef>
              <c:f>Calculations!$X$2:$X$3</c:f>
              <c:numCache>
                <c:formatCode>General</c:formatCode>
                <c:ptCount val="2"/>
                <c:pt idx="0">
                  <c:v>0.72</c:v>
                </c:pt>
              </c:numCache>
            </c:numRef>
          </c:xVal>
          <c:yVal>
            <c:numRef>
              <c:f>Calculations!$Y$2:$Y$3</c:f>
              <c:numCache>
                <c:formatCode>General</c:formatCode>
                <c:ptCount val="2"/>
                <c:pt idx="0" formatCode="_(&quot;$&quot;* #,##0.00_);_(&quot;$&quot;* \(#,##0.00\);_(&quot;$&quot;* &quot;-&quot;??_);_(@_)">
                  <c:v>0.18655117961723588</c:v>
                </c:pt>
              </c:numCache>
            </c:numRef>
          </c:yVal>
          <c:smooth val="0"/>
          <c:extLst>
            <c:ext xmlns:c16="http://schemas.microsoft.com/office/drawing/2014/chart" uri="{C3380CC4-5D6E-409C-BE32-E72D297353CC}">
              <c16:uniqueId val="{0000000B-8C4B-4366-856E-9EADD23D6080}"/>
            </c:ext>
          </c:extLst>
        </c:ser>
        <c:ser>
          <c:idx val="12"/>
          <c:order val="16"/>
          <c:tx>
            <c:strRef>
              <c:f>Calculations!$AA$1</c:f>
              <c:strCache>
                <c:ptCount val="1"/>
                <c:pt idx="0">
                  <c:v>Wood Mackenzie, Solar Only [AZ]</c:v>
                </c:pt>
              </c:strCache>
            </c:strRef>
          </c:tx>
          <c:spPr>
            <a:ln w="19050" cap="rnd">
              <a:noFill/>
              <a:round/>
            </a:ln>
            <a:effectLst/>
          </c:spPr>
          <c:marker>
            <c:symbol val="triangle"/>
            <c:size val="8"/>
            <c:spPr>
              <a:pattFill prst="narHorz">
                <a:fgClr>
                  <a:srgbClr val="C00000"/>
                </a:fgClr>
                <a:bgClr>
                  <a:schemeClr val="bg1"/>
                </a:bgClr>
              </a:pattFill>
              <a:ln w="19050">
                <a:solidFill>
                  <a:srgbClr val="C00000"/>
                </a:solidFill>
              </a:ln>
              <a:effectLst/>
            </c:spPr>
          </c:marker>
          <c:xVal>
            <c:numRef>
              <c:f>Calculations!$Z$2:$Z$3</c:f>
              <c:numCache>
                <c:formatCode>General</c:formatCode>
                <c:ptCount val="2"/>
                <c:pt idx="0">
                  <c:v>0.46</c:v>
                </c:pt>
              </c:numCache>
            </c:numRef>
          </c:xVal>
          <c:yVal>
            <c:numRef>
              <c:f>Calculations!$AA$2:$AA$3</c:f>
              <c:numCache>
                <c:formatCode>General</c:formatCode>
                <c:ptCount val="2"/>
                <c:pt idx="0" formatCode="_(&quot;$&quot;* #,##0.00_);_(&quot;$&quot;* \(#,##0.00\);_(&quot;$&quot;* &quot;-&quot;??_);_(@_)">
                  <c:v>1.1832974985313265</c:v>
                </c:pt>
              </c:numCache>
            </c:numRef>
          </c:yVal>
          <c:smooth val="0"/>
          <c:extLst>
            <c:ext xmlns:c16="http://schemas.microsoft.com/office/drawing/2014/chart" uri="{C3380CC4-5D6E-409C-BE32-E72D297353CC}">
              <c16:uniqueId val="{0000000C-8C4B-4366-856E-9EADD23D6080}"/>
            </c:ext>
          </c:extLst>
        </c:ser>
        <c:ser>
          <c:idx val="18"/>
          <c:order val="17"/>
          <c:tx>
            <c:strRef>
              <c:f>Calculations!$AK$1</c:f>
              <c:strCache>
                <c:ptCount val="1"/>
                <c:pt idx="0">
                  <c:v>Clean Energy Developer 2, Wind and Solar</c:v>
                </c:pt>
              </c:strCache>
            </c:strRef>
          </c:tx>
          <c:spPr>
            <a:ln w="19050" cap="rnd">
              <a:noFill/>
              <a:round/>
            </a:ln>
            <a:effectLst/>
          </c:spPr>
          <c:marker>
            <c:symbol val="square"/>
            <c:size val="8"/>
            <c:spPr>
              <a:pattFill prst="narHorz">
                <a:fgClr>
                  <a:srgbClr val="5CEA40"/>
                </a:fgClr>
                <a:bgClr>
                  <a:schemeClr val="bg1"/>
                </a:bgClr>
              </a:pattFill>
              <a:ln w="19050">
                <a:solidFill>
                  <a:srgbClr val="5CEA40"/>
                </a:solidFill>
              </a:ln>
              <a:effectLst/>
            </c:spPr>
          </c:marker>
          <c:xVal>
            <c:numRef>
              <c:f>Calculations!$AJ$2:$AJ$3</c:f>
              <c:numCache>
                <c:formatCode>General</c:formatCode>
                <c:ptCount val="2"/>
                <c:pt idx="0">
                  <c:v>0.7</c:v>
                </c:pt>
              </c:numCache>
            </c:numRef>
          </c:xVal>
          <c:yVal>
            <c:numRef>
              <c:f>Calculations!$AK$2:$AK$3</c:f>
              <c:numCache>
                <c:formatCode>General</c:formatCode>
                <c:ptCount val="2"/>
                <c:pt idx="0" formatCode="_(&quot;$&quot;* #,##0.00_);_(&quot;$&quot;* \(#,##0.00\);_(&quot;$&quot;* &quot;-&quot;??_);_(@_)">
                  <c:v>0.88188121332058511</c:v>
                </c:pt>
              </c:numCache>
            </c:numRef>
          </c:yVal>
          <c:smooth val="0"/>
          <c:extLst>
            <c:ext xmlns:c16="http://schemas.microsoft.com/office/drawing/2014/chart" uri="{C3380CC4-5D6E-409C-BE32-E72D297353CC}">
              <c16:uniqueId val="{00000001-9E0C-4351-B8A3-43CB626CB441}"/>
            </c:ext>
          </c:extLst>
        </c:ser>
        <c:ser>
          <c:idx val="19"/>
          <c:order val="18"/>
          <c:tx>
            <c:strRef>
              <c:f>Calculations!$AM$1</c:f>
              <c:strCache>
                <c:ptCount val="1"/>
                <c:pt idx="0">
                  <c:v>Clean Energy Developer 2, Wind Only</c:v>
                </c:pt>
              </c:strCache>
            </c:strRef>
          </c:tx>
          <c:spPr>
            <a:ln w="19050" cap="rnd">
              <a:noFill/>
              <a:round/>
            </a:ln>
            <a:effectLst/>
          </c:spPr>
          <c:marker>
            <c:symbol val="square"/>
            <c:size val="8"/>
            <c:spPr>
              <a:pattFill prst="narHorz">
                <a:fgClr>
                  <a:schemeClr val="accent5">
                    <a:lumMod val="75000"/>
                  </a:schemeClr>
                </a:fgClr>
                <a:bgClr>
                  <a:schemeClr val="bg1"/>
                </a:bgClr>
              </a:pattFill>
              <a:ln w="19050">
                <a:solidFill>
                  <a:schemeClr val="accent5">
                    <a:lumMod val="75000"/>
                  </a:schemeClr>
                </a:solidFill>
              </a:ln>
              <a:effectLst/>
            </c:spPr>
          </c:marker>
          <c:xVal>
            <c:numRef>
              <c:f>Calculations!$AL$2:$AL$3</c:f>
              <c:numCache>
                <c:formatCode>General</c:formatCode>
                <c:ptCount val="2"/>
                <c:pt idx="0">
                  <c:v>0.56000000000000005</c:v>
                </c:pt>
              </c:numCache>
            </c:numRef>
          </c:xVal>
          <c:yVal>
            <c:numRef>
              <c:f>Calculations!$AM$2:$AM$3</c:f>
              <c:numCache>
                <c:formatCode>General</c:formatCode>
                <c:ptCount val="2"/>
                <c:pt idx="0" formatCode="_(&quot;$&quot;* #,##0.00_);_(&quot;$&quot;* \(#,##0.00\);_(&quot;$&quot;* &quot;-&quot;??_);_(@_)">
                  <c:v>1.5398515166507321</c:v>
                </c:pt>
              </c:numCache>
            </c:numRef>
          </c:yVal>
          <c:smooth val="0"/>
          <c:extLst>
            <c:ext xmlns:c16="http://schemas.microsoft.com/office/drawing/2014/chart" uri="{C3380CC4-5D6E-409C-BE32-E72D297353CC}">
              <c16:uniqueId val="{00000002-9E0C-4351-B8A3-43CB626CB441}"/>
            </c:ext>
          </c:extLst>
        </c:ser>
        <c:ser>
          <c:idx val="20"/>
          <c:order val="19"/>
          <c:tx>
            <c:strRef>
              <c:f>Calculations!$AO$1</c:f>
              <c:strCache>
                <c:ptCount val="1"/>
                <c:pt idx="0">
                  <c:v>Clean Energy Developer 2, Solar Only</c:v>
                </c:pt>
              </c:strCache>
            </c:strRef>
          </c:tx>
          <c:spPr>
            <a:ln w="19050" cap="rnd">
              <a:noFill/>
              <a:round/>
            </a:ln>
            <a:effectLst/>
          </c:spPr>
          <c:marker>
            <c:symbol val="square"/>
            <c:size val="8"/>
            <c:spPr>
              <a:pattFill prst="narHorz">
                <a:fgClr>
                  <a:srgbClr val="FF5050"/>
                </a:fgClr>
                <a:bgClr>
                  <a:schemeClr val="bg1"/>
                </a:bgClr>
              </a:pattFill>
              <a:ln w="19050">
                <a:solidFill>
                  <a:srgbClr val="FF0000"/>
                </a:solidFill>
              </a:ln>
              <a:effectLst/>
            </c:spPr>
          </c:marker>
          <c:xVal>
            <c:numRef>
              <c:f>Calculations!$AN$2:$AN$3</c:f>
              <c:numCache>
                <c:formatCode>General</c:formatCode>
                <c:ptCount val="2"/>
                <c:pt idx="0">
                  <c:v>0.35</c:v>
                </c:pt>
              </c:numCache>
            </c:numRef>
          </c:xVal>
          <c:yVal>
            <c:numRef>
              <c:f>Calculations!$AO$2:$AO$3</c:f>
              <c:numCache>
                <c:formatCode>General</c:formatCode>
                <c:ptCount val="2"/>
                <c:pt idx="0" formatCode="_(&quot;$&quot;* #,##0.00_);_(&quot;$&quot;* \(#,##0.00\);_(&quot;$&quot;* &quot;-&quot;??_);_(@_)">
                  <c:v>1.7637624266411716</c:v>
                </c:pt>
              </c:numCache>
            </c:numRef>
          </c:yVal>
          <c:smooth val="0"/>
          <c:extLst>
            <c:ext xmlns:c16="http://schemas.microsoft.com/office/drawing/2014/chart" uri="{C3380CC4-5D6E-409C-BE32-E72D297353CC}">
              <c16:uniqueId val="{00000003-9E0C-4351-B8A3-43CB626CB441}"/>
            </c:ext>
          </c:extLst>
        </c:ser>
        <c:ser>
          <c:idx val="10"/>
          <c:order val="20"/>
          <c:tx>
            <c:strRef>
              <c:f>Calculations!$W$1</c:f>
              <c:strCache>
                <c:ptCount val="1"/>
                <c:pt idx="0">
                  <c:v>Rhodium Group, Solar Only</c:v>
                </c:pt>
              </c:strCache>
            </c:strRef>
          </c:tx>
          <c:spPr>
            <a:ln w="19050" cap="rnd">
              <a:noFill/>
              <a:round/>
            </a:ln>
            <a:effectLst/>
          </c:spPr>
          <c:marker>
            <c:symbol val="diamond"/>
            <c:size val="9"/>
            <c:spPr>
              <a:noFill/>
              <a:ln w="19050">
                <a:solidFill>
                  <a:schemeClr val="accent2">
                    <a:lumMod val="50000"/>
                  </a:schemeClr>
                </a:solidFill>
              </a:ln>
              <a:effectLst/>
            </c:spPr>
          </c:marker>
          <c:xVal>
            <c:numRef>
              <c:f>Calculations!$V$2:$V$3</c:f>
              <c:numCache>
                <c:formatCode>General</c:formatCode>
                <c:ptCount val="2"/>
                <c:pt idx="0">
                  <c:v>0.26</c:v>
                </c:pt>
              </c:numCache>
            </c:numRef>
          </c:xVal>
          <c:yVal>
            <c:numRef>
              <c:f>Calculations!$W$2:$W$3</c:f>
              <c:numCache>
                <c:formatCode>General</c:formatCode>
                <c:ptCount val="2"/>
                <c:pt idx="0" formatCode="_(&quot;$&quot;* #,##0.00_);_(&quot;$&quot;* \(#,##0.00\);_(&quot;$&quot;* &quot;-&quot;??_);_(@_)">
                  <c:v>2.5435263435554236</c:v>
                </c:pt>
              </c:numCache>
            </c:numRef>
          </c:yVal>
          <c:smooth val="0"/>
          <c:extLst>
            <c:ext xmlns:c16="http://schemas.microsoft.com/office/drawing/2014/chart" uri="{C3380CC4-5D6E-409C-BE32-E72D297353CC}">
              <c16:uniqueId val="{0000000A-8C4B-4366-856E-9EADD23D6080}"/>
            </c:ext>
          </c:extLst>
        </c:ser>
        <c:ser>
          <c:idx val="13"/>
          <c:order val="21"/>
          <c:tx>
            <c:strRef>
              <c:f>Calculations!$AC$1</c:f>
              <c:strCache>
                <c:ptCount val="1"/>
                <c:pt idx="0">
                  <c:v>Energy Futures Initiative, Wind Only [TX]</c:v>
                </c:pt>
              </c:strCache>
            </c:strRef>
          </c:tx>
          <c:spPr>
            <a:ln w="19050" cap="rnd">
              <a:noFill/>
              <a:round/>
            </a:ln>
            <a:effectLst/>
          </c:spPr>
          <c:marker>
            <c:symbol val="circle"/>
            <c:size val="8"/>
            <c:spPr>
              <a:noFill/>
              <a:ln w="19050">
                <a:solidFill>
                  <a:srgbClr val="0070C0"/>
                </a:solidFill>
              </a:ln>
              <a:effectLst/>
            </c:spPr>
          </c:marker>
          <c:xVal>
            <c:numRef>
              <c:f>Calculations!$AB$2:$AB$3</c:f>
              <c:numCache>
                <c:formatCode>General</c:formatCode>
                <c:ptCount val="2"/>
                <c:pt idx="0">
                  <c:v>0.4</c:v>
                </c:pt>
              </c:numCache>
            </c:numRef>
          </c:xVal>
          <c:yVal>
            <c:numRef>
              <c:f>Calculations!$AC$2:$AC$3</c:f>
              <c:numCache>
                <c:formatCode>General</c:formatCode>
                <c:ptCount val="2"/>
                <c:pt idx="0" formatCode="_(&quot;$&quot;* #,##0.00_);_(&quot;$&quot;* \(#,##0.00\);_(&quot;$&quot;* &quot;-&quot;??_);_(@_)">
                  <c:v>1.1557921233110258</c:v>
                </c:pt>
              </c:numCache>
            </c:numRef>
          </c:yVal>
          <c:smooth val="0"/>
          <c:extLst>
            <c:ext xmlns:c16="http://schemas.microsoft.com/office/drawing/2014/chart" uri="{C3380CC4-5D6E-409C-BE32-E72D297353CC}">
              <c16:uniqueId val="{0000000D-8C4B-4366-856E-9EADD23D6080}"/>
            </c:ext>
          </c:extLst>
        </c:ser>
        <c:ser>
          <c:idx val="16"/>
          <c:order val="22"/>
          <c:tx>
            <c:strRef>
              <c:f>Calculations!$AE$1</c:f>
              <c:strCache>
                <c:ptCount val="1"/>
                <c:pt idx="0">
                  <c:v>User Inputs</c:v>
                </c:pt>
              </c:strCache>
            </c:strRef>
          </c:tx>
          <c:spPr>
            <a:ln w="19050" cap="rnd">
              <a:noFill/>
              <a:round/>
            </a:ln>
            <a:effectLst/>
          </c:spPr>
          <c:marker>
            <c:symbol val="x"/>
            <c:size val="11"/>
            <c:spPr>
              <a:noFill/>
              <a:ln w="19050">
                <a:solidFill>
                  <a:srgbClr val="FF0000"/>
                </a:solidFill>
              </a:ln>
              <a:effectLst/>
            </c:spPr>
          </c:marker>
          <c:xVal>
            <c:numRef>
              <c:f>Calculations!$AD$2:$AD$3</c:f>
              <c:numCache>
                <c:formatCode>General</c:formatCode>
                <c:ptCount val="2"/>
                <c:pt idx="0">
                  <c:v>0.7</c:v>
                </c:pt>
              </c:numCache>
            </c:numRef>
          </c:xVal>
          <c:yVal>
            <c:numRef>
              <c:f>Calculations!$AE$2:$AE$3</c:f>
              <c:numCache>
                <c:formatCode>General</c:formatCode>
                <c:ptCount val="2"/>
                <c:pt idx="0" formatCode="_(&quot;$&quot;* #,##0.00_);_(&quot;$&quot;* \(#,##0.00\);_(&quot;$&quot;* &quot;-&quot;??_);_(@_)">
                  <c:v>0.131881213320586</c:v>
                </c:pt>
              </c:numCache>
            </c:numRef>
          </c:yVal>
          <c:smooth val="0"/>
          <c:extLst>
            <c:ext xmlns:c16="http://schemas.microsoft.com/office/drawing/2014/chart" uri="{C3380CC4-5D6E-409C-BE32-E72D297353CC}">
              <c16:uniqueId val="{00000011-8C4B-4366-856E-9EADD23D6080}"/>
            </c:ext>
          </c:extLst>
        </c:ser>
        <c:dLbls>
          <c:showLegendKey val="0"/>
          <c:showVal val="0"/>
          <c:showCatName val="0"/>
          <c:showSerName val="0"/>
          <c:showPercent val="0"/>
          <c:showBubbleSize val="0"/>
        </c:dLbls>
        <c:axId val="1882240048"/>
        <c:axId val="1882165840"/>
      </c:scatterChart>
      <c:valAx>
        <c:axId val="1882240048"/>
        <c:scaling>
          <c:orientation val="minMax"/>
          <c:max val="1"/>
          <c:min val="0.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b="1"/>
                  <a:t>Electrolyzer Utilization Rate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low"/>
        <c:spPr>
          <a:noFill/>
          <a:ln w="9525" cap="flat" cmpd="sng" algn="ctr">
            <a:solidFill>
              <a:schemeClr val="tx1">
                <a:lumMod val="75000"/>
                <a:lumOff val="2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82165840"/>
        <c:crosses val="autoZero"/>
        <c:crossBetween val="midCat"/>
      </c:valAx>
      <c:valAx>
        <c:axId val="1882165840"/>
        <c:scaling>
          <c:orientation val="minMax"/>
          <c:max val="6"/>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b="1"/>
                  <a:t>LCOH ($/kg, post-subsidy)</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82240048"/>
        <c:crosses val="autoZero"/>
        <c:crossBetween val="midCat"/>
        <c:majorUnit val="1"/>
        <c:minorUnit val="0.5"/>
      </c:valAx>
      <c:spPr>
        <a:noFill/>
        <a:ln>
          <a:noFill/>
        </a:ln>
        <a:effectLst/>
      </c:spPr>
    </c:plotArea>
    <c:legend>
      <c:legendPos val="b"/>
      <c:layout>
        <c:manualLayout>
          <c:xMode val="edge"/>
          <c:yMode val="edge"/>
          <c:x val="7.0602259288595703E-2"/>
          <c:y val="0.71037204660455677"/>
          <c:w val="0.88348802863784615"/>
          <c:h val="0.2896279533954431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flat" cmpd="sng" algn="ctr">
      <a:solidFill>
        <a:schemeClr val="tx1"/>
      </a:solidFill>
      <a:round/>
    </a:ln>
    <a:effectLst/>
  </c:spPr>
  <c:txPr>
    <a:bodyPr/>
    <a:lstStyle/>
    <a:p>
      <a:pPr>
        <a:defRPr sz="105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xdr:colOff>
      <xdr:row>29</xdr:row>
      <xdr:rowOff>1</xdr:rowOff>
    </xdr:from>
    <xdr:to>
      <xdr:col>3</xdr:col>
      <xdr:colOff>1617133</xdr:colOff>
      <xdr:row>58</xdr:row>
      <xdr:rowOff>0</xdr:rowOff>
    </xdr:to>
    <xdr:graphicFrame macro="">
      <xdr:nvGraphicFramePr>
        <xdr:cNvPr id="2" name="Chart 1">
          <a:extLst>
            <a:ext uri="{FF2B5EF4-FFF2-40B4-BE49-F238E27FC236}">
              <a16:creationId xmlns:a16="http://schemas.microsoft.com/office/drawing/2014/main" id="{6C03993F-4AA3-4011-B119-39C072E8D5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3387</xdr:colOff>
      <xdr:row>29</xdr:row>
      <xdr:rowOff>3626</xdr:rowOff>
    </xdr:from>
    <xdr:to>
      <xdr:col>9</xdr:col>
      <xdr:colOff>8466</xdr:colOff>
      <xdr:row>58</xdr:row>
      <xdr:rowOff>3628</xdr:rowOff>
    </xdr:to>
    <xdr:graphicFrame macro="">
      <xdr:nvGraphicFramePr>
        <xdr:cNvPr id="3" name="Chart 2">
          <a:extLst>
            <a:ext uri="{FF2B5EF4-FFF2-40B4-BE49-F238E27FC236}">
              <a16:creationId xmlns:a16="http://schemas.microsoft.com/office/drawing/2014/main" id="{69862E9D-3FAE-4082-9357-BD270A015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19</xdr:row>
      <xdr:rowOff>12699</xdr:rowOff>
    </xdr:from>
    <xdr:to>
      <xdr:col>8</xdr:col>
      <xdr:colOff>0</xdr:colOff>
      <xdr:row>59</xdr:row>
      <xdr:rowOff>186266</xdr:rowOff>
    </xdr:to>
    <xdr:graphicFrame macro="">
      <xdr:nvGraphicFramePr>
        <xdr:cNvPr id="2" name="Chart 1">
          <a:extLst>
            <a:ext uri="{FF2B5EF4-FFF2-40B4-BE49-F238E27FC236}">
              <a16:creationId xmlns:a16="http://schemas.microsoft.com/office/drawing/2014/main" id="{9B6976BD-F2B1-480A-8785-6DD0F95C6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rhg.com/research/scaling-clean-hydrogen-ira/" TargetMode="External"/><Relationship Id="rId7" Type="http://schemas.openxmlformats.org/officeDocument/2006/relationships/hyperlink" Target="https://acore.org/wp-content/uploads/2023/04/ACORE-and-E3-Analysis-of-Hourly-and-Annual-GHG-Emissions-Accounting-for-Hydrogen-Production.pdf" TargetMode="External"/><Relationship Id="rId2" Type="http://schemas.openxmlformats.org/officeDocument/2006/relationships/hyperlink" Target="https://www.woodmac.com/news/opinion/green-hydrogen-IRA-production-economics/" TargetMode="External"/><Relationship Id="rId1" Type="http://schemas.openxmlformats.org/officeDocument/2006/relationships/hyperlink" Target="https://iopscience.iop.org/article/10.1088/1748-9326/acacb5" TargetMode="External"/><Relationship Id="rId6" Type="http://schemas.openxmlformats.org/officeDocument/2006/relationships/hyperlink" Target="https://www.woodmac.com/news/opinion/green-hydrogen-IRA-production-economics/" TargetMode="External"/><Relationship Id="rId5" Type="http://schemas.openxmlformats.org/officeDocument/2006/relationships/hyperlink" Target="https://energy.mit.edu/wp-content/uploads/2023/04/MITEI-WP-2023-02.pdf" TargetMode="External"/><Relationship Id="rId4" Type="http://schemas.openxmlformats.org/officeDocument/2006/relationships/hyperlink" Target="https://energyinnovation.org/publication/smart-design-of-45v-hydrogen-production-tax-credit-will-reduce-emissions-and-grow-the-industry/"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FFBA-8AEA-48BA-B953-2B73D32F96E7}">
  <dimension ref="A1:N61"/>
  <sheetViews>
    <sheetView tabSelected="1" zoomScale="90" zoomScaleNormal="90" workbookViewId="0">
      <selection activeCell="E40" sqref="E40"/>
    </sheetView>
  </sheetViews>
  <sheetFormatPr defaultRowHeight="14.5" x14ac:dyDescent="0.35"/>
  <cols>
    <col min="1" max="1" width="43.08984375" bestFit="1" customWidth="1"/>
    <col min="2" max="2" width="22.08984375" customWidth="1"/>
    <col min="3" max="3" width="24.1796875" bestFit="1" customWidth="1"/>
    <col min="4" max="4" width="23.6328125" customWidth="1"/>
    <col min="5" max="5" width="23.54296875" customWidth="1"/>
    <col min="6" max="6" width="24.36328125" customWidth="1"/>
    <col min="7" max="7" width="44.08984375" bestFit="1" customWidth="1"/>
    <col min="8" max="8" width="26.36328125" bestFit="1" customWidth="1"/>
    <col min="9" max="9" width="24.36328125" bestFit="1" customWidth="1"/>
    <col min="10" max="10" width="22.6328125" bestFit="1" customWidth="1"/>
    <col min="11" max="11" width="34.54296875" bestFit="1" customWidth="1"/>
    <col min="12" max="12" width="27.36328125" bestFit="1" customWidth="1"/>
    <col min="14" max="14" width="11.08984375" bestFit="1" customWidth="1"/>
  </cols>
  <sheetData>
    <row r="1" spans="1:14" ht="19.5" thickTop="1" thickBot="1" x14ac:dyDescent="0.5">
      <c r="A1" s="166" t="s">
        <v>28</v>
      </c>
      <c r="B1" s="167"/>
      <c r="C1" s="167"/>
      <c r="D1" s="167"/>
      <c r="E1" s="167"/>
      <c r="F1" s="167"/>
      <c r="G1" s="167"/>
      <c r="H1" s="167"/>
      <c r="I1" s="167"/>
      <c r="J1" s="167"/>
      <c r="K1" s="167"/>
      <c r="L1" s="168"/>
    </row>
    <row r="2" spans="1:14" ht="15.5" thickTop="1" thickBot="1" x14ac:dyDescent="0.4">
      <c r="A2" s="9" t="s">
        <v>17</v>
      </c>
      <c r="B2" s="12" t="s">
        <v>19</v>
      </c>
      <c r="C2" s="12" t="s">
        <v>74</v>
      </c>
      <c r="D2" s="125" t="s">
        <v>3</v>
      </c>
      <c r="E2" s="125" t="s">
        <v>45</v>
      </c>
      <c r="F2" s="126" t="s">
        <v>100</v>
      </c>
      <c r="G2" s="126" t="s">
        <v>101</v>
      </c>
      <c r="H2" s="126" t="s">
        <v>53</v>
      </c>
      <c r="I2" s="126" t="s">
        <v>20</v>
      </c>
      <c r="J2" s="125" t="s">
        <v>4</v>
      </c>
      <c r="K2" s="142" t="s">
        <v>78</v>
      </c>
      <c r="L2" s="141" t="s">
        <v>83</v>
      </c>
    </row>
    <row r="3" spans="1:14" s="34" customFormat="1" ht="16.5" thickTop="1" thickBot="1" x14ac:dyDescent="0.4">
      <c r="A3" s="39" t="s">
        <v>43</v>
      </c>
      <c r="B3" s="40"/>
      <c r="C3" s="40"/>
      <c r="D3" s="40"/>
      <c r="E3" s="40"/>
      <c r="F3" s="40"/>
      <c r="G3" s="40"/>
      <c r="H3" s="40"/>
      <c r="I3" s="40"/>
      <c r="J3" s="40"/>
      <c r="K3" s="40"/>
      <c r="L3" s="41"/>
    </row>
    <row r="4" spans="1:14" ht="15" thickTop="1" x14ac:dyDescent="0.35">
      <c r="A4" s="10" t="s">
        <v>82</v>
      </c>
      <c r="B4" s="15">
        <v>1150</v>
      </c>
      <c r="C4" s="5">
        <v>1200</v>
      </c>
      <c r="D4" s="84">
        <v>800</v>
      </c>
      <c r="E4" s="85">
        <v>1400</v>
      </c>
      <c r="F4" s="52">
        <v>927</v>
      </c>
      <c r="G4" s="52">
        <v>1500</v>
      </c>
      <c r="H4" s="52">
        <v>1500</v>
      </c>
      <c r="I4" s="47">
        <v>2210</v>
      </c>
      <c r="J4" s="143">
        <v>670</v>
      </c>
      <c r="K4" s="154">
        <v>1500</v>
      </c>
      <c r="L4" s="127">
        <v>1189</v>
      </c>
    </row>
    <row r="5" spans="1:14" x14ac:dyDescent="0.35">
      <c r="A5" s="11" t="s">
        <v>44</v>
      </c>
      <c r="B5" s="58">
        <v>50</v>
      </c>
      <c r="C5" s="59">
        <v>50</v>
      </c>
      <c r="D5" s="86">
        <v>52.86</v>
      </c>
      <c r="E5" s="87">
        <v>50</v>
      </c>
      <c r="F5" s="107">
        <v>55.15</v>
      </c>
      <c r="G5" s="107">
        <v>50</v>
      </c>
      <c r="H5" s="60">
        <v>55.5</v>
      </c>
      <c r="I5" s="121">
        <v>53.97</v>
      </c>
      <c r="J5" s="144">
        <v>50</v>
      </c>
      <c r="K5" s="129">
        <v>56.27</v>
      </c>
      <c r="L5" s="158">
        <v>54.3</v>
      </c>
    </row>
    <row r="6" spans="1:14" x14ac:dyDescent="0.35">
      <c r="A6" s="11" t="s">
        <v>61</v>
      </c>
      <c r="B6" s="16">
        <v>10</v>
      </c>
      <c r="C6" s="6">
        <v>10</v>
      </c>
      <c r="D6" s="88">
        <v>20</v>
      </c>
      <c r="E6" s="89">
        <v>10</v>
      </c>
      <c r="F6" s="108">
        <v>25</v>
      </c>
      <c r="G6" s="108">
        <v>20</v>
      </c>
      <c r="H6" s="53">
        <v>20</v>
      </c>
      <c r="I6" s="48">
        <v>10</v>
      </c>
      <c r="J6" s="145">
        <v>10</v>
      </c>
      <c r="K6" s="130">
        <v>10</v>
      </c>
      <c r="L6" s="120">
        <v>20</v>
      </c>
    </row>
    <row r="7" spans="1:14" x14ac:dyDescent="0.35">
      <c r="A7" s="11" t="s">
        <v>0</v>
      </c>
      <c r="B7" s="17">
        <v>0.08</v>
      </c>
      <c r="C7" s="7">
        <v>0.08</v>
      </c>
      <c r="D7" s="90">
        <v>0.08</v>
      </c>
      <c r="E7" s="91">
        <v>7.0000000000000007E-2</v>
      </c>
      <c r="F7" s="109">
        <v>0.08</v>
      </c>
      <c r="G7" s="109">
        <v>8.5000000000000006E-2</v>
      </c>
      <c r="H7" s="54">
        <v>6.4000000000000001E-2</v>
      </c>
      <c r="I7" s="49">
        <v>0.08</v>
      </c>
      <c r="J7" s="146">
        <v>2.5000000000000001E-2</v>
      </c>
      <c r="K7" s="155">
        <v>0.08</v>
      </c>
      <c r="L7" s="128">
        <v>0.04</v>
      </c>
    </row>
    <row r="8" spans="1:14" x14ac:dyDescent="0.35">
      <c r="A8" s="11" t="s">
        <v>5</v>
      </c>
      <c r="B8" s="17">
        <v>2.5000000000000001E-2</v>
      </c>
      <c r="C8" s="7">
        <v>0.05</v>
      </c>
      <c r="D8" s="90">
        <v>0</v>
      </c>
      <c r="E8" s="91">
        <v>6.4000000000000001E-2</v>
      </c>
      <c r="F8" s="109">
        <v>1.0999999999999999E-2</v>
      </c>
      <c r="G8" s="109">
        <v>0.03</v>
      </c>
      <c r="H8" s="54">
        <v>0.02</v>
      </c>
      <c r="I8" s="50">
        <v>3.5000000000000003E-2</v>
      </c>
      <c r="J8" s="147">
        <v>6.5000000000000002E-2</v>
      </c>
      <c r="K8" s="131">
        <v>5.2999999999999999E-2</v>
      </c>
      <c r="L8" s="128">
        <v>1.4800000000000001E-2</v>
      </c>
    </row>
    <row r="9" spans="1:14" x14ac:dyDescent="0.35">
      <c r="A9" s="11" t="s">
        <v>1</v>
      </c>
      <c r="B9" s="18">
        <v>0</v>
      </c>
      <c r="C9" s="8">
        <v>85</v>
      </c>
      <c r="D9" s="84">
        <v>25</v>
      </c>
      <c r="E9" s="85">
        <v>0</v>
      </c>
      <c r="F9" s="52">
        <v>0</v>
      </c>
      <c r="G9" s="115">
        <f>-PMT(G7,G6,G4*0.3/(1+G7)^10)</f>
        <v>21.031528838026539</v>
      </c>
      <c r="H9" s="52">
        <v>0</v>
      </c>
      <c r="I9" s="51">
        <v>0</v>
      </c>
      <c r="J9" s="148">
        <v>0</v>
      </c>
      <c r="K9" s="156">
        <v>8.1999999999999993</v>
      </c>
      <c r="L9" s="175">
        <v>20.62</v>
      </c>
    </row>
    <row r="10" spans="1:14" ht="77.400000000000006" customHeight="1" thickBot="1" x14ac:dyDescent="0.4">
      <c r="A10" s="14" t="s">
        <v>18</v>
      </c>
      <c r="B10" s="19"/>
      <c r="C10" s="4" t="s">
        <v>71</v>
      </c>
      <c r="D10" s="2" t="s">
        <v>7</v>
      </c>
      <c r="E10" s="46" t="s">
        <v>77</v>
      </c>
      <c r="F10" s="46"/>
      <c r="G10" s="110" t="s">
        <v>62</v>
      </c>
      <c r="H10" s="55" t="s">
        <v>7</v>
      </c>
      <c r="I10" s="46" t="s">
        <v>77</v>
      </c>
      <c r="J10" s="2" t="s">
        <v>7</v>
      </c>
      <c r="K10" s="132" t="s">
        <v>81</v>
      </c>
      <c r="L10" s="157" t="s">
        <v>107</v>
      </c>
      <c r="N10" s="1"/>
    </row>
    <row r="11" spans="1:14" ht="15.5" thickTop="1" thickBot="1" x14ac:dyDescent="0.4">
      <c r="A11" s="24" t="s">
        <v>6</v>
      </c>
      <c r="B11" s="21">
        <f>-PMT(B7,B6,B4)+B8*B4+B9</f>
        <v>200.1339120016367</v>
      </c>
      <c r="C11" s="27">
        <f>-PMT(C7,C6,C4)+C8*C4+C9</f>
        <v>323.83538643649047</v>
      </c>
      <c r="D11" s="26">
        <f t="shared" ref="D11:I11" si="0">-PMT(D7,D6,D4)+D8*D4+D9</f>
        <v>106.4817670585205</v>
      </c>
      <c r="E11" s="25">
        <f t="shared" si="0"/>
        <v>288.92850381831062</v>
      </c>
      <c r="F11" s="25">
        <f t="shared" si="0"/>
        <v>97.03722818117447</v>
      </c>
      <c r="G11" s="25">
        <f t="shared" si="0"/>
        <v>224.53799037464987</v>
      </c>
      <c r="H11" s="25">
        <f>-PMT(H7,H6,H4)+H8*H4+H9</f>
        <v>165.05518545821772</v>
      </c>
      <c r="I11" s="117">
        <f t="shared" si="0"/>
        <v>406.70517002053668</v>
      </c>
      <c r="J11" s="149">
        <v>120.33</v>
      </c>
      <c r="K11" s="25">
        <f>-PMT(K7,K6,K4)+K8*K4+K9</f>
        <v>311.2442330456131</v>
      </c>
      <c r="L11" s="118">
        <f>-PMT(L7,L6,L4)+L8*L4+L9</f>
        <v>125.70590114073977</v>
      </c>
    </row>
    <row r="12" spans="1:14" s="34" customFormat="1" ht="16.5" thickTop="1" thickBot="1" x14ac:dyDescent="0.4">
      <c r="A12" s="39" t="s">
        <v>25</v>
      </c>
      <c r="B12" s="40"/>
      <c r="C12" s="40"/>
      <c r="D12" s="40"/>
      <c r="E12" s="40"/>
      <c r="F12" s="40"/>
      <c r="G12" s="40"/>
      <c r="H12" s="40"/>
      <c r="I12" s="40"/>
      <c r="J12" s="40"/>
      <c r="K12" s="40"/>
      <c r="L12" s="41"/>
    </row>
    <row r="13" spans="1:14" ht="15" thickTop="1" x14ac:dyDescent="0.35">
      <c r="A13" s="10" t="s">
        <v>29</v>
      </c>
      <c r="B13" s="56">
        <v>30</v>
      </c>
      <c r="C13" s="96" t="s">
        <v>68</v>
      </c>
      <c r="D13" s="72">
        <v>25</v>
      </c>
      <c r="E13" s="72" t="s">
        <v>46</v>
      </c>
      <c r="F13" s="72" t="s">
        <v>66</v>
      </c>
      <c r="G13" s="72" t="s">
        <v>64</v>
      </c>
      <c r="H13" s="71" t="s">
        <v>58</v>
      </c>
      <c r="I13" s="97" t="s">
        <v>75</v>
      </c>
      <c r="J13" s="150">
        <v>26</v>
      </c>
      <c r="K13" s="71" t="s">
        <v>96</v>
      </c>
      <c r="L13" s="174" t="s">
        <v>106</v>
      </c>
    </row>
    <row r="14" spans="1:14" x14ac:dyDescent="0.35">
      <c r="A14" s="11" t="s">
        <v>30</v>
      </c>
      <c r="B14" s="57">
        <v>0.7</v>
      </c>
      <c r="C14" s="98" t="s">
        <v>31</v>
      </c>
      <c r="D14" s="73">
        <v>70</v>
      </c>
      <c r="E14" s="73" t="s">
        <v>47</v>
      </c>
      <c r="F14" s="73" t="s">
        <v>67</v>
      </c>
      <c r="G14" s="73" t="s">
        <v>65</v>
      </c>
      <c r="H14" s="99" t="s">
        <v>59</v>
      </c>
      <c r="I14" s="100" t="s">
        <v>54</v>
      </c>
      <c r="J14" s="151">
        <v>40</v>
      </c>
      <c r="K14" s="99" t="s">
        <v>96</v>
      </c>
      <c r="L14" s="133" t="s">
        <v>85</v>
      </c>
    </row>
    <row r="15" spans="1:14" x14ac:dyDescent="0.35">
      <c r="A15" s="11" t="s">
        <v>32</v>
      </c>
      <c r="B15" s="36" t="s">
        <v>26</v>
      </c>
      <c r="C15" s="101" t="s">
        <v>35</v>
      </c>
      <c r="D15" s="72" t="s">
        <v>51</v>
      </c>
      <c r="E15" s="74" t="s">
        <v>48</v>
      </c>
      <c r="F15" s="97" t="s">
        <v>37</v>
      </c>
      <c r="G15" s="97" t="s">
        <v>7</v>
      </c>
      <c r="H15" s="102" t="s">
        <v>7</v>
      </c>
      <c r="I15" s="102" t="s">
        <v>55</v>
      </c>
      <c r="J15" s="152" t="s">
        <v>37</v>
      </c>
      <c r="K15" s="136" t="s">
        <v>86</v>
      </c>
      <c r="L15" s="134" t="s">
        <v>84</v>
      </c>
    </row>
    <row r="16" spans="1:14" x14ac:dyDescent="0.35">
      <c r="A16" s="11" t="s">
        <v>39</v>
      </c>
      <c r="B16" s="36" t="s">
        <v>26</v>
      </c>
      <c r="C16" s="101" t="s">
        <v>40</v>
      </c>
      <c r="D16" s="72" t="s">
        <v>49</v>
      </c>
      <c r="E16" s="74" t="s">
        <v>49</v>
      </c>
      <c r="F16" s="97" t="s">
        <v>49</v>
      </c>
      <c r="G16" s="97" t="s">
        <v>63</v>
      </c>
      <c r="H16" s="102" t="s">
        <v>57</v>
      </c>
      <c r="I16" s="102" t="s">
        <v>56</v>
      </c>
      <c r="J16" s="152" t="s">
        <v>41</v>
      </c>
      <c r="K16" s="136" t="s">
        <v>63</v>
      </c>
      <c r="L16" s="134" t="s">
        <v>49</v>
      </c>
    </row>
    <row r="17" spans="1:12" x14ac:dyDescent="0.35">
      <c r="A17" s="11" t="s">
        <v>33</v>
      </c>
      <c r="B17" s="35" t="s">
        <v>26</v>
      </c>
      <c r="C17" s="103" t="s">
        <v>36</v>
      </c>
      <c r="D17" s="72" t="s">
        <v>36</v>
      </c>
      <c r="E17" s="74" t="s">
        <v>50</v>
      </c>
      <c r="F17" s="97" t="s">
        <v>36</v>
      </c>
      <c r="G17" s="97" t="s">
        <v>36</v>
      </c>
      <c r="H17" s="102" t="s">
        <v>38</v>
      </c>
      <c r="I17" s="102" t="s">
        <v>36</v>
      </c>
      <c r="J17" s="152" t="s">
        <v>38</v>
      </c>
      <c r="K17" s="136" t="s">
        <v>7</v>
      </c>
      <c r="L17" s="134" t="s">
        <v>36</v>
      </c>
    </row>
    <row r="18" spans="1:12" ht="15" thickBot="1" x14ac:dyDescent="0.4">
      <c r="A18" s="37" t="s">
        <v>34</v>
      </c>
      <c r="B18" s="38" t="s">
        <v>26</v>
      </c>
      <c r="C18" s="104" t="s">
        <v>36</v>
      </c>
      <c r="D18" s="75" t="s">
        <v>36</v>
      </c>
      <c r="E18" s="76" t="s">
        <v>50</v>
      </c>
      <c r="F18" s="111" t="s">
        <v>36</v>
      </c>
      <c r="G18" s="111" t="s">
        <v>38</v>
      </c>
      <c r="H18" s="105" t="s">
        <v>38</v>
      </c>
      <c r="I18" s="105" t="s">
        <v>38</v>
      </c>
      <c r="J18" s="153" t="s">
        <v>38</v>
      </c>
      <c r="K18" s="137" t="s">
        <v>7</v>
      </c>
      <c r="L18" s="135" t="s">
        <v>36</v>
      </c>
    </row>
    <row r="19" spans="1:12" ht="16.5" thickTop="1" thickBot="1" x14ac:dyDescent="0.4">
      <c r="A19" s="39" t="s">
        <v>60</v>
      </c>
      <c r="B19" s="95">
        <f>((B11/(B14*8760)+B13/1000)*B5-PMT(B7,B6,PV(B7,10,B22)))/(1-B23)</f>
        <v>0.131881213320586</v>
      </c>
      <c r="C19" s="92"/>
      <c r="D19" s="93"/>
      <c r="E19" s="93"/>
      <c r="F19" s="93"/>
      <c r="G19" s="93"/>
      <c r="H19" s="92"/>
      <c r="I19" s="92"/>
      <c r="J19" s="92"/>
    </row>
    <row r="20" spans="1:12" ht="15.5" thickTop="1" thickBot="1" x14ac:dyDescent="0.4">
      <c r="A20" s="94"/>
      <c r="C20" s="92"/>
      <c r="D20" s="93"/>
      <c r="E20" s="93"/>
      <c r="F20" s="93"/>
      <c r="G20" s="93"/>
      <c r="H20" s="92"/>
      <c r="I20" s="92"/>
      <c r="J20" s="92"/>
    </row>
    <row r="21" spans="1:12" ht="15" thickBot="1" x14ac:dyDescent="0.4">
      <c r="A21" s="22" t="s">
        <v>22</v>
      </c>
      <c r="B21" s="23"/>
      <c r="D21" s="22" t="s">
        <v>10</v>
      </c>
      <c r="E21" s="23"/>
      <c r="G21" s="169" t="s">
        <v>21</v>
      </c>
      <c r="H21" s="170"/>
      <c r="I21" t="s">
        <v>99</v>
      </c>
      <c r="J21" s="122"/>
    </row>
    <row r="22" spans="1:12" ht="14" customHeight="1" x14ac:dyDescent="0.35">
      <c r="A22" s="13" t="s">
        <v>8</v>
      </c>
      <c r="B22" s="28">
        <v>3</v>
      </c>
      <c r="D22" s="81" t="s">
        <v>13</v>
      </c>
      <c r="E22" s="78" t="s">
        <v>11</v>
      </c>
      <c r="F22" s="112"/>
      <c r="G22" s="159" t="s">
        <v>74</v>
      </c>
      <c r="H22" s="160" t="s">
        <v>4</v>
      </c>
    </row>
    <row r="23" spans="1:12" x14ac:dyDescent="0.35">
      <c r="A23" s="29" t="s">
        <v>80</v>
      </c>
      <c r="B23" s="45">
        <v>0</v>
      </c>
      <c r="D23" s="82" t="s">
        <v>14</v>
      </c>
      <c r="E23" s="79" t="s">
        <v>15</v>
      </c>
      <c r="F23" s="113"/>
      <c r="G23" s="161" t="s">
        <v>45</v>
      </c>
      <c r="H23" s="162" t="s">
        <v>78</v>
      </c>
      <c r="I23" s="1"/>
      <c r="J23" s="1"/>
    </row>
    <row r="24" spans="1:12" ht="15" thickBot="1" x14ac:dyDescent="0.4">
      <c r="A24" s="77" t="s">
        <v>23</v>
      </c>
      <c r="B24" s="30">
        <v>1.25</v>
      </c>
      <c r="D24" s="83" t="s">
        <v>16</v>
      </c>
      <c r="E24" s="80" t="s">
        <v>12</v>
      </c>
      <c r="F24" s="114"/>
      <c r="G24" s="161" t="s">
        <v>53</v>
      </c>
      <c r="H24" s="162" t="s">
        <v>83</v>
      </c>
    </row>
    <row r="25" spans="1:12" ht="15" thickBot="1" x14ac:dyDescent="0.4">
      <c r="A25" s="94"/>
      <c r="G25" s="163" t="s">
        <v>20</v>
      </c>
      <c r="H25" s="164"/>
      <c r="L25" s="1"/>
    </row>
    <row r="26" spans="1:12" x14ac:dyDescent="0.35">
      <c r="K26" s="1"/>
      <c r="L26" s="123"/>
    </row>
    <row r="27" spans="1:12" x14ac:dyDescent="0.35">
      <c r="K27" s="124"/>
    </row>
    <row r="28" spans="1:12" x14ac:dyDescent="0.35">
      <c r="K28" s="1"/>
    </row>
    <row r="30" spans="1:12" x14ac:dyDescent="0.35">
      <c r="K30" s="119"/>
    </row>
    <row r="31" spans="1:12" x14ac:dyDescent="0.35">
      <c r="K31" s="119"/>
    </row>
    <row r="33" spans="2:9" x14ac:dyDescent="0.35">
      <c r="B33" s="31"/>
      <c r="C33" s="31"/>
    </row>
    <row r="48" spans="2:9" x14ac:dyDescent="0.35">
      <c r="B48" s="31"/>
      <c r="C48" s="31"/>
      <c r="D48" s="31"/>
      <c r="E48" s="31"/>
      <c r="F48" s="31"/>
      <c r="G48" s="31"/>
      <c r="H48" s="31"/>
      <c r="I48" s="31"/>
    </row>
    <row r="59" spans="6:9" x14ac:dyDescent="0.35">
      <c r="F59" s="165" t="s">
        <v>69</v>
      </c>
      <c r="G59" s="165"/>
      <c r="H59" s="165"/>
      <c r="I59" s="165"/>
    </row>
    <row r="60" spans="6:9" x14ac:dyDescent="0.35">
      <c r="F60" s="165"/>
      <c r="G60" s="165"/>
      <c r="H60" s="165"/>
      <c r="I60" s="165"/>
    </row>
    <row r="61" spans="6:9" x14ac:dyDescent="0.35">
      <c r="F61" s="165"/>
      <c r="G61" s="165"/>
      <c r="H61" s="165"/>
      <c r="I61" s="165"/>
    </row>
  </sheetData>
  <mergeCells count="3">
    <mergeCell ref="F59:I61"/>
    <mergeCell ref="A1:L1"/>
    <mergeCell ref="G21:H21"/>
  </mergeCells>
  <hyperlinks>
    <hyperlink ref="G22" r:id="rId1" display="Princeton" xr:uid="{CF36795F-9473-43EF-A2E9-3866034C691D}"/>
    <hyperlink ref="G25" r:id="rId2" xr:uid="{CF7C99C7-6449-44F8-B71F-8627D39E419D}"/>
    <hyperlink ref="G24" r:id="rId3" xr:uid="{089829D0-418C-44BB-954E-B0C2D83B5C8D}"/>
    <hyperlink ref="G23" r:id="rId4" display="Princeton" xr:uid="{568C5485-A802-47D3-A9E4-B022357303B9}"/>
    <hyperlink ref="H24" r:id="rId5" xr:uid="{7FA1A641-DB8A-4FFF-9D5E-D877A065252E}"/>
    <hyperlink ref="H22" r:id="rId6" display="Wood Mackenzie" xr:uid="{7CE6B05A-2AAC-463E-A87A-982DFF230402}"/>
    <hyperlink ref="H23" r:id="rId7" xr:uid="{ACFC28A3-2563-4BB3-A20D-72669CDADA6B}"/>
  </hyperlinks>
  <pageMargins left="0.7" right="0.7" top="0.75" bottom="0.75" header="0.3" footer="0.3"/>
  <pageSetup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8F022-E9A0-480F-B64E-CA603BE98E7B}">
  <dimension ref="A1:H63"/>
  <sheetViews>
    <sheetView topLeftCell="A18" zoomScale="70" zoomScaleNormal="70" workbookViewId="0">
      <selection activeCell="B2" sqref="B2:H2"/>
    </sheetView>
  </sheetViews>
  <sheetFormatPr defaultRowHeight="14.5" x14ac:dyDescent="0.35"/>
  <cols>
    <col min="1" max="1" width="27.08984375" bestFit="1" customWidth="1"/>
    <col min="2" max="8" width="15.6328125" customWidth="1"/>
  </cols>
  <sheetData>
    <row r="1" spans="1:8" ht="19.5" thickTop="1" thickBot="1" x14ac:dyDescent="0.5">
      <c r="A1" s="32" t="s">
        <v>42</v>
      </c>
      <c r="B1" s="33"/>
      <c r="C1" s="33"/>
      <c r="D1" s="33"/>
      <c r="E1" s="33"/>
      <c r="F1" s="33"/>
      <c r="G1" s="33"/>
      <c r="H1" s="44"/>
    </row>
    <row r="2" spans="1:8" ht="15.5" thickTop="1" thickBot="1" x14ac:dyDescent="0.4">
      <c r="A2" s="68" t="s">
        <v>52</v>
      </c>
      <c r="B2" s="171" t="s">
        <v>19</v>
      </c>
      <c r="C2" s="172"/>
      <c r="D2" s="172"/>
      <c r="E2" s="172"/>
      <c r="F2" s="172"/>
      <c r="G2" s="172"/>
      <c r="H2" s="173"/>
    </row>
    <row r="3" spans="1:8" ht="15.5" thickTop="1" thickBot="1" x14ac:dyDescent="0.4">
      <c r="A3" s="65" t="s">
        <v>72</v>
      </c>
      <c r="B3" s="61">
        <v>0</v>
      </c>
      <c r="C3" s="61">
        <v>10</v>
      </c>
      <c r="D3" s="61">
        <v>20</v>
      </c>
      <c r="E3" s="61">
        <v>30</v>
      </c>
      <c r="F3" s="61">
        <v>40</v>
      </c>
      <c r="G3" s="61">
        <v>50</v>
      </c>
      <c r="H3" s="66">
        <v>60</v>
      </c>
    </row>
    <row r="4" spans="1:8" ht="15" thickBot="1" x14ac:dyDescent="0.4">
      <c r="A4" s="62" t="s">
        <v>9</v>
      </c>
      <c r="B4" s="42" t="s">
        <v>27</v>
      </c>
      <c r="C4" s="43"/>
      <c r="D4" s="43"/>
      <c r="E4" s="43"/>
      <c r="F4" s="43"/>
      <c r="G4" s="43"/>
      <c r="H4" s="69"/>
    </row>
    <row r="5" spans="1:8" ht="15" thickBot="1" x14ac:dyDescent="0.4">
      <c r="A5" s="63">
        <v>0.1</v>
      </c>
      <c r="B5" s="67">
        <f>((HLOOKUP(Results!$B$2,Inputs!$B$2:$L$11,10,FALSE)/($A5*8760)+B$3/1000)*HLOOKUP(Results!$B$2,Inputs!$B$2:'Inputs'!$L$9,4,FALSE) - PMT(HLOOKUP(Results!$B$2,Inputs!$B$2:'Inputs'!$L$9,6,FALSE),HLOOKUP(Results!$B$2,Inputs!$B$2:'Inputs'!$L$9,5,FALSE),PV(HLOOKUP(Results!$B$2,Inputs!$B$2:'Inputs'!$L$9,6,FALSE),10,Inputs!$B$22)))/(1-Inputs!$B$23)</f>
        <v>8.4231684932441038</v>
      </c>
      <c r="C5" s="67">
        <f>((HLOOKUP(Results!$B$2,Inputs!$B$2:$L$11,10,FALSE)/($A5*8760)+C$3/1000)*HLOOKUP(Results!$B$2,Inputs!$B$2:'Inputs'!$L$9,4,FALSE) - PMT(HLOOKUP(Results!$B$2,Inputs!$B$2:'Inputs'!$L$9,6,FALSE),HLOOKUP(Results!$B$2,Inputs!$B$2:'Inputs'!$L$9,5,FALSE),PV(HLOOKUP(Results!$B$2,Inputs!$B$2:'Inputs'!$L$9,6,FALSE),10,Inputs!$B$22)))/(1-Inputs!$B$23)</f>
        <v>8.9231684932441038</v>
      </c>
      <c r="D5" s="67">
        <f>((HLOOKUP(Results!$B$2,Inputs!$B$2:$L$11,10,FALSE)/($A5*8760)+D$3/1000)*HLOOKUP(Results!$B$2,Inputs!$B$2:'Inputs'!$L$9,4,FALSE) - PMT(HLOOKUP(Results!$B$2,Inputs!$B$2:'Inputs'!$L$9,6,FALSE),HLOOKUP(Results!$B$2,Inputs!$B$2:'Inputs'!$L$9,5,FALSE),PV(HLOOKUP(Results!$B$2,Inputs!$B$2:'Inputs'!$L$9,6,FALSE),10,Inputs!$B$22)))/(1-Inputs!$B$23)</f>
        <v>9.4231684932441038</v>
      </c>
      <c r="E5" s="67">
        <f>((HLOOKUP(Results!$B$2,Inputs!$B$2:$L$11,10,FALSE)/($A5*8760)+E$3/1000)*HLOOKUP(Results!$B$2,Inputs!$B$2:'Inputs'!$L$9,4,FALSE) - PMT(HLOOKUP(Results!$B$2,Inputs!$B$2:'Inputs'!$L$9,6,FALSE),HLOOKUP(Results!$B$2,Inputs!$B$2:'Inputs'!$L$9,5,FALSE),PV(HLOOKUP(Results!$B$2,Inputs!$B$2:'Inputs'!$L$9,6,FALSE),10,Inputs!$B$22)))/(1-Inputs!$B$23)</f>
        <v>9.923168493244102</v>
      </c>
      <c r="F5" s="67">
        <f>((HLOOKUP(Results!$B$2,Inputs!$B$2:$L$11,10,FALSE)/($A5*8760)+F$3/1000)*HLOOKUP(Results!$B$2,Inputs!$B$2:'Inputs'!$L$9,4,FALSE) - PMT(HLOOKUP(Results!$B$2,Inputs!$B$2:'Inputs'!$L$9,6,FALSE),HLOOKUP(Results!$B$2,Inputs!$B$2:'Inputs'!$L$9,5,FALSE),PV(HLOOKUP(Results!$B$2,Inputs!$B$2:'Inputs'!$L$9,6,FALSE),10,Inputs!$B$22)))/(1-Inputs!$B$23)</f>
        <v>10.423168493244104</v>
      </c>
      <c r="G5" s="67">
        <f>((HLOOKUP(Results!$B$2,Inputs!$B$2:$L$11,10,FALSE)/($A5*8760)+G$3/1000)*HLOOKUP(Results!$B$2,Inputs!$B$2:'Inputs'!$L$9,4,FALSE) - PMT(HLOOKUP(Results!$B$2,Inputs!$B$2:'Inputs'!$L$9,6,FALSE),HLOOKUP(Results!$B$2,Inputs!$B$2:'Inputs'!$L$9,5,FALSE),PV(HLOOKUP(Results!$B$2,Inputs!$B$2:'Inputs'!$L$9,6,FALSE),10,Inputs!$B$22)))/(1-Inputs!$B$23)</f>
        <v>10.923168493244104</v>
      </c>
      <c r="H5" s="138">
        <f>((HLOOKUP(Results!$B$2,Inputs!$B$2:$L$11,10,FALSE)/($A5*8760)+H$3/1000)*HLOOKUP(Results!$B$2,Inputs!$B$2:'Inputs'!$L$9,4,FALSE) - PMT(HLOOKUP(Results!$B$2,Inputs!$B$2:'Inputs'!$L$9,6,FALSE),HLOOKUP(Results!$B$2,Inputs!$B$2:'Inputs'!$L$9,5,FALSE),PV(HLOOKUP(Results!$B$2,Inputs!$B$2:'Inputs'!$L$9,6,FALSE),10,Inputs!$B$22)))/(1-Inputs!$B$23)</f>
        <v>11.423168493244104</v>
      </c>
    </row>
    <row r="6" spans="1:8" ht="15" thickBot="1" x14ac:dyDescent="0.4">
      <c r="A6" s="63">
        <v>0.2</v>
      </c>
      <c r="B6" s="67">
        <f>((HLOOKUP(Results!$B$2,Inputs!$B$2:$L$11,10,FALSE)/($A6*8760)+B$3/1000)*HLOOKUP(Results!$B$2,Inputs!$B$2:'Inputs'!$L$9,4,FALSE) - PMT(HLOOKUP(Results!$B$2,Inputs!$B$2:'Inputs'!$L$9,6,FALSE),HLOOKUP(Results!$B$2,Inputs!$B$2:'Inputs'!$L$9,5,FALSE),PV(HLOOKUP(Results!$B$2,Inputs!$B$2:'Inputs'!$L$9,6,FALSE),10,Inputs!$B$22)))/(1-Inputs!$B$23)</f>
        <v>2.7115842466220514</v>
      </c>
      <c r="C6" s="67">
        <f>((HLOOKUP(Results!$B$2,Inputs!$B$2:$L$11,10,FALSE)/($A6*8760)+C$3/1000)*HLOOKUP(Results!$B$2,Inputs!$B$2:'Inputs'!$L$9,4,FALSE) - PMT(HLOOKUP(Results!$B$2,Inputs!$B$2:'Inputs'!$L$9,6,FALSE),HLOOKUP(Results!$B$2,Inputs!$B$2:'Inputs'!$L$9,5,FALSE),PV(HLOOKUP(Results!$B$2,Inputs!$B$2:'Inputs'!$L$9,6,FALSE),10,Inputs!$B$22)))/(1-Inputs!$B$23)</f>
        <v>3.2115842466220514</v>
      </c>
      <c r="D6" s="67">
        <f>((HLOOKUP(Results!$B$2,Inputs!$B$2:$L$11,10,FALSE)/($A6*8760)+D$3/1000)*HLOOKUP(Results!$B$2,Inputs!$B$2:'Inputs'!$L$9,4,FALSE) - PMT(HLOOKUP(Results!$B$2,Inputs!$B$2:'Inputs'!$L$9,6,FALSE),HLOOKUP(Results!$B$2,Inputs!$B$2:'Inputs'!$L$9,5,FALSE),PV(HLOOKUP(Results!$B$2,Inputs!$B$2:'Inputs'!$L$9,6,FALSE),10,Inputs!$B$22)))/(1-Inputs!$B$23)</f>
        <v>3.7115842466220514</v>
      </c>
      <c r="E6" s="67">
        <f>((HLOOKUP(Results!$B$2,Inputs!$B$2:$L$11,10,FALSE)/($A6*8760)+E$3/1000)*HLOOKUP(Results!$B$2,Inputs!$B$2:'Inputs'!$L$9,4,FALSE) - PMT(HLOOKUP(Results!$B$2,Inputs!$B$2:'Inputs'!$L$9,6,FALSE),HLOOKUP(Results!$B$2,Inputs!$B$2:'Inputs'!$L$9,5,FALSE),PV(HLOOKUP(Results!$B$2,Inputs!$B$2:'Inputs'!$L$9,6,FALSE),10,Inputs!$B$22)))/(1-Inputs!$B$23)</f>
        <v>4.211584246622051</v>
      </c>
      <c r="F6" s="67">
        <f>((HLOOKUP(Results!$B$2,Inputs!$B$2:$L$11,10,FALSE)/($A6*8760)+F$3/1000)*HLOOKUP(Results!$B$2,Inputs!$B$2:'Inputs'!$L$9,4,FALSE) - PMT(HLOOKUP(Results!$B$2,Inputs!$B$2:'Inputs'!$L$9,6,FALSE),HLOOKUP(Results!$B$2,Inputs!$B$2:'Inputs'!$L$9,5,FALSE),PV(HLOOKUP(Results!$B$2,Inputs!$B$2:'Inputs'!$L$9,6,FALSE),10,Inputs!$B$22)))/(1-Inputs!$B$23)</f>
        <v>4.7115842466220528</v>
      </c>
      <c r="G6" s="67">
        <f>((HLOOKUP(Results!$B$2,Inputs!$B$2:$L$11,10,FALSE)/($A6*8760)+G$3/1000)*HLOOKUP(Results!$B$2,Inputs!$B$2:'Inputs'!$L$9,4,FALSE) - PMT(HLOOKUP(Results!$B$2,Inputs!$B$2:'Inputs'!$L$9,6,FALSE),HLOOKUP(Results!$B$2,Inputs!$B$2:'Inputs'!$L$9,5,FALSE),PV(HLOOKUP(Results!$B$2,Inputs!$B$2:'Inputs'!$L$9,6,FALSE),10,Inputs!$B$22)))/(1-Inputs!$B$23)</f>
        <v>5.2115842466220528</v>
      </c>
      <c r="H6" s="138">
        <f>((HLOOKUP(Results!$B$2,Inputs!$B$2:$L$11,10,FALSE)/($A6*8760)+H$3/1000)*HLOOKUP(Results!$B$2,Inputs!$B$2:'Inputs'!$L$9,4,FALSE) - PMT(HLOOKUP(Results!$B$2,Inputs!$B$2:'Inputs'!$L$9,6,FALSE),HLOOKUP(Results!$B$2,Inputs!$B$2:'Inputs'!$L$9,5,FALSE),PV(HLOOKUP(Results!$B$2,Inputs!$B$2:'Inputs'!$L$9,6,FALSE),10,Inputs!$B$22)))/(1-Inputs!$B$23)</f>
        <v>5.7115842466220528</v>
      </c>
    </row>
    <row r="7" spans="1:8" ht="15" thickBot="1" x14ac:dyDescent="0.4">
      <c r="A7" s="63">
        <v>0.3</v>
      </c>
      <c r="B7" s="67">
        <f>((HLOOKUP(Results!$B$2,Inputs!$B$2:$L$11,10,FALSE)/($A7*8760)+B$3/1000)*HLOOKUP(Results!$B$2,Inputs!$B$2:'Inputs'!$L$9,4,FALSE) - PMT(HLOOKUP(Results!$B$2,Inputs!$B$2:'Inputs'!$L$9,6,FALSE),HLOOKUP(Results!$B$2,Inputs!$B$2:'Inputs'!$L$9,5,FALSE),PV(HLOOKUP(Results!$B$2,Inputs!$B$2:'Inputs'!$L$9,6,FALSE),10,Inputs!$B$22)))/(1-Inputs!$B$23)</f>
        <v>0.80772283108136733</v>
      </c>
      <c r="C7" s="67">
        <f>((HLOOKUP(Results!$B$2,Inputs!$B$2:$L$11,10,FALSE)/($A7*8760)+C$3/1000)*HLOOKUP(Results!$B$2,Inputs!$B$2:'Inputs'!$L$9,4,FALSE) - PMT(HLOOKUP(Results!$B$2,Inputs!$B$2:'Inputs'!$L$9,6,FALSE),HLOOKUP(Results!$B$2,Inputs!$B$2:'Inputs'!$L$9,5,FALSE),PV(HLOOKUP(Results!$B$2,Inputs!$B$2:'Inputs'!$L$9,6,FALSE),10,Inputs!$B$22)))/(1-Inputs!$B$23)</f>
        <v>1.3077228310813669</v>
      </c>
      <c r="D7" s="67">
        <f>((HLOOKUP(Results!$B$2,Inputs!$B$2:$L$11,10,FALSE)/($A7*8760)+D$3/1000)*HLOOKUP(Results!$B$2,Inputs!$B$2:'Inputs'!$L$9,4,FALSE) - PMT(HLOOKUP(Results!$B$2,Inputs!$B$2:'Inputs'!$L$9,6,FALSE),HLOOKUP(Results!$B$2,Inputs!$B$2:'Inputs'!$L$9,5,FALSE),PV(HLOOKUP(Results!$B$2,Inputs!$B$2:'Inputs'!$L$9,6,FALSE),10,Inputs!$B$22)))/(1-Inputs!$B$23)</f>
        <v>1.8077228310813678</v>
      </c>
      <c r="E7" s="67">
        <f>((HLOOKUP(Results!$B$2,Inputs!$B$2:$L$11,10,FALSE)/($A7*8760)+E$3/1000)*HLOOKUP(Results!$B$2,Inputs!$B$2:'Inputs'!$L$9,4,FALSE) - PMT(HLOOKUP(Results!$B$2,Inputs!$B$2:'Inputs'!$L$9,6,FALSE),HLOOKUP(Results!$B$2,Inputs!$B$2:'Inputs'!$L$9,5,FALSE),PV(HLOOKUP(Results!$B$2,Inputs!$B$2:'Inputs'!$L$9,6,FALSE),10,Inputs!$B$22)))/(1-Inputs!$B$23)</f>
        <v>2.3077228310813669</v>
      </c>
      <c r="F7" s="67">
        <f>((HLOOKUP(Results!$B$2,Inputs!$B$2:$L$11,10,FALSE)/($A7*8760)+F$3/1000)*HLOOKUP(Results!$B$2,Inputs!$B$2:'Inputs'!$L$9,4,FALSE) - PMT(HLOOKUP(Results!$B$2,Inputs!$B$2:'Inputs'!$L$9,6,FALSE),HLOOKUP(Results!$B$2,Inputs!$B$2:'Inputs'!$L$9,5,FALSE),PV(HLOOKUP(Results!$B$2,Inputs!$B$2:'Inputs'!$L$9,6,FALSE),10,Inputs!$B$22)))/(1-Inputs!$B$23)</f>
        <v>2.8077228310813669</v>
      </c>
      <c r="G7" s="67">
        <f>((HLOOKUP(Results!$B$2,Inputs!$B$2:$L$11,10,FALSE)/($A7*8760)+G$3/1000)*HLOOKUP(Results!$B$2,Inputs!$B$2:'Inputs'!$L$9,4,FALSE) - PMT(HLOOKUP(Results!$B$2,Inputs!$B$2:'Inputs'!$L$9,6,FALSE),HLOOKUP(Results!$B$2,Inputs!$B$2:'Inputs'!$L$9,5,FALSE),PV(HLOOKUP(Results!$B$2,Inputs!$B$2:'Inputs'!$L$9,6,FALSE),10,Inputs!$B$22)))/(1-Inputs!$B$23)</f>
        <v>3.3077228310813678</v>
      </c>
      <c r="H7" s="138">
        <f>((HLOOKUP(Results!$B$2,Inputs!$B$2:$L$11,10,FALSE)/($A7*8760)+H$3/1000)*HLOOKUP(Results!$B$2,Inputs!$B$2:'Inputs'!$L$9,4,FALSE) - PMT(HLOOKUP(Results!$B$2,Inputs!$B$2:'Inputs'!$L$9,6,FALSE),HLOOKUP(Results!$B$2,Inputs!$B$2:'Inputs'!$L$9,5,FALSE),PV(HLOOKUP(Results!$B$2,Inputs!$B$2:'Inputs'!$L$9,6,FALSE),10,Inputs!$B$22)))/(1-Inputs!$B$23)</f>
        <v>3.8077228310813669</v>
      </c>
    </row>
    <row r="8" spans="1:8" ht="15" thickBot="1" x14ac:dyDescent="0.4">
      <c r="A8" s="63">
        <v>0.4</v>
      </c>
      <c r="B8" s="67">
        <f>((HLOOKUP(Results!$B$2,Inputs!$B$2:$L$11,10,FALSE)/($A8*8760)+B$3/1000)*HLOOKUP(Results!$B$2,Inputs!$B$2:'Inputs'!$L$9,4,FALSE) - PMT(HLOOKUP(Results!$B$2,Inputs!$B$2:'Inputs'!$L$9,6,FALSE),HLOOKUP(Results!$B$2,Inputs!$B$2:'Inputs'!$L$9,5,FALSE),PV(HLOOKUP(Results!$B$2,Inputs!$B$2:'Inputs'!$L$9,6,FALSE),10,Inputs!$B$22)))/(1-Inputs!$B$23)</f>
        <v>-0.1442078766889745</v>
      </c>
      <c r="C8" s="67">
        <f>((HLOOKUP(Results!$B$2,Inputs!$B$2:$L$11,10,FALSE)/($A8*8760)+C$3/1000)*HLOOKUP(Results!$B$2,Inputs!$B$2:'Inputs'!$L$9,4,FALSE) - PMT(HLOOKUP(Results!$B$2,Inputs!$B$2:'Inputs'!$L$9,6,FALSE),HLOOKUP(Results!$B$2,Inputs!$B$2:'Inputs'!$L$9,5,FALSE),PV(HLOOKUP(Results!$B$2,Inputs!$B$2:'Inputs'!$L$9,6,FALSE),10,Inputs!$B$22)))/(1-Inputs!$B$23)</f>
        <v>0.3557921233110255</v>
      </c>
      <c r="D8" s="67">
        <f>((HLOOKUP(Results!$B$2,Inputs!$B$2:$L$11,10,FALSE)/($A8*8760)+D$3/1000)*HLOOKUP(Results!$B$2,Inputs!$B$2:'Inputs'!$L$9,4,FALSE) - PMT(HLOOKUP(Results!$B$2,Inputs!$B$2:'Inputs'!$L$9,6,FALSE),HLOOKUP(Results!$B$2,Inputs!$B$2:'Inputs'!$L$9,5,FALSE),PV(HLOOKUP(Results!$B$2,Inputs!$B$2:'Inputs'!$L$9,6,FALSE),10,Inputs!$B$22)))/(1-Inputs!$B$23)</f>
        <v>0.85579212331102594</v>
      </c>
      <c r="E8" s="67">
        <f>((HLOOKUP(Results!$B$2,Inputs!$B$2:$L$11,10,FALSE)/($A8*8760)+E$3/1000)*HLOOKUP(Results!$B$2,Inputs!$B$2:'Inputs'!$L$9,4,FALSE) - PMT(HLOOKUP(Results!$B$2,Inputs!$B$2:'Inputs'!$L$9,6,FALSE),HLOOKUP(Results!$B$2,Inputs!$B$2:'Inputs'!$L$9,5,FALSE),PV(HLOOKUP(Results!$B$2,Inputs!$B$2:'Inputs'!$L$9,6,FALSE),10,Inputs!$B$22)))/(1-Inputs!$B$23)</f>
        <v>1.3557921233110259</v>
      </c>
      <c r="F8" s="67">
        <f>((HLOOKUP(Results!$B$2,Inputs!$B$2:$L$11,10,FALSE)/($A8*8760)+F$3/1000)*HLOOKUP(Results!$B$2,Inputs!$B$2:'Inputs'!$L$9,4,FALSE) - PMT(HLOOKUP(Results!$B$2,Inputs!$B$2:'Inputs'!$L$9,6,FALSE),HLOOKUP(Results!$B$2,Inputs!$B$2:'Inputs'!$L$9,5,FALSE),PV(HLOOKUP(Results!$B$2,Inputs!$B$2:'Inputs'!$L$9,6,FALSE),10,Inputs!$B$22)))/(1-Inputs!$B$23)</f>
        <v>1.8557921233110251</v>
      </c>
      <c r="G8" s="67">
        <f>((HLOOKUP(Results!$B$2,Inputs!$B$2:$L$11,10,FALSE)/($A8*8760)+G$3/1000)*HLOOKUP(Results!$B$2,Inputs!$B$2:'Inputs'!$L$9,4,FALSE) - PMT(HLOOKUP(Results!$B$2,Inputs!$B$2:'Inputs'!$L$9,6,FALSE),HLOOKUP(Results!$B$2,Inputs!$B$2:'Inputs'!$L$9,5,FALSE),PV(HLOOKUP(Results!$B$2,Inputs!$B$2:'Inputs'!$L$9,6,FALSE),10,Inputs!$B$22)))/(1-Inputs!$B$23)</f>
        <v>2.3557921233110259</v>
      </c>
      <c r="H8" s="138">
        <f>((HLOOKUP(Results!$B$2,Inputs!$B$2:$L$11,10,FALSE)/($A8*8760)+H$3/1000)*HLOOKUP(Results!$B$2,Inputs!$B$2:'Inputs'!$L$9,4,FALSE) - PMT(HLOOKUP(Results!$B$2,Inputs!$B$2:'Inputs'!$L$9,6,FALSE),HLOOKUP(Results!$B$2,Inputs!$B$2:'Inputs'!$L$9,5,FALSE),PV(HLOOKUP(Results!$B$2,Inputs!$B$2:'Inputs'!$L$9,6,FALSE),10,Inputs!$B$22)))/(1-Inputs!$B$23)</f>
        <v>2.8557921233110251</v>
      </c>
    </row>
    <row r="9" spans="1:8" ht="15" thickBot="1" x14ac:dyDescent="0.4">
      <c r="A9" s="63">
        <v>0.5</v>
      </c>
      <c r="B9" s="67">
        <f>((HLOOKUP(Results!$B$2,Inputs!$B$2:$L$11,10,FALSE)/($A9*8760)+B$3/1000)*HLOOKUP(Results!$B$2,Inputs!$B$2:'Inputs'!$L$9,4,FALSE) - PMT(HLOOKUP(Results!$B$2,Inputs!$B$2:'Inputs'!$L$9,6,FALSE),HLOOKUP(Results!$B$2,Inputs!$B$2:'Inputs'!$L$9,5,FALSE),PV(HLOOKUP(Results!$B$2,Inputs!$B$2:'Inputs'!$L$9,6,FALSE),10,Inputs!$B$22)))/(1-Inputs!$B$23)</f>
        <v>-0.71536630135117951</v>
      </c>
      <c r="C9" s="67">
        <f>((HLOOKUP(Results!$B$2,Inputs!$B$2:$L$11,10,FALSE)/($A9*8760)+C$3/1000)*HLOOKUP(Results!$B$2,Inputs!$B$2:'Inputs'!$L$9,4,FALSE) - PMT(HLOOKUP(Results!$B$2,Inputs!$B$2:'Inputs'!$L$9,6,FALSE),HLOOKUP(Results!$B$2,Inputs!$B$2:'Inputs'!$L$9,5,FALSE),PV(HLOOKUP(Results!$B$2,Inputs!$B$2:'Inputs'!$L$9,6,FALSE),10,Inputs!$B$22)))/(1-Inputs!$B$23)</f>
        <v>-0.21536630135117951</v>
      </c>
      <c r="D9" s="67">
        <f>((HLOOKUP(Results!$B$2,Inputs!$B$2:$L$11,10,FALSE)/($A9*8760)+D$3/1000)*HLOOKUP(Results!$B$2,Inputs!$B$2:'Inputs'!$L$9,4,FALSE) - PMT(HLOOKUP(Results!$B$2,Inputs!$B$2:'Inputs'!$L$9,6,FALSE),HLOOKUP(Results!$B$2,Inputs!$B$2:'Inputs'!$L$9,5,FALSE),PV(HLOOKUP(Results!$B$2,Inputs!$B$2:'Inputs'!$L$9,6,FALSE),10,Inputs!$B$22)))/(1-Inputs!$B$23)</f>
        <v>0.28463369864882049</v>
      </c>
      <c r="E9" s="67">
        <f>((HLOOKUP(Results!$B$2,Inputs!$B$2:$L$11,10,FALSE)/($A9*8760)+E$3/1000)*HLOOKUP(Results!$B$2,Inputs!$B$2:'Inputs'!$L$9,4,FALSE) - PMT(HLOOKUP(Results!$B$2,Inputs!$B$2:'Inputs'!$L$9,6,FALSE),HLOOKUP(Results!$B$2,Inputs!$B$2:'Inputs'!$L$9,5,FALSE),PV(HLOOKUP(Results!$B$2,Inputs!$B$2:'Inputs'!$L$9,6,FALSE),10,Inputs!$B$22)))/(1-Inputs!$B$23)</f>
        <v>0.78463369864882004</v>
      </c>
      <c r="F9" s="67">
        <f>((HLOOKUP(Results!$B$2,Inputs!$B$2:$L$11,10,FALSE)/($A9*8760)+F$3/1000)*HLOOKUP(Results!$B$2,Inputs!$B$2:'Inputs'!$L$9,4,FALSE) - PMT(HLOOKUP(Results!$B$2,Inputs!$B$2:'Inputs'!$L$9,6,FALSE),HLOOKUP(Results!$B$2,Inputs!$B$2:'Inputs'!$L$9,5,FALSE),PV(HLOOKUP(Results!$B$2,Inputs!$B$2:'Inputs'!$L$9,6,FALSE),10,Inputs!$B$22)))/(1-Inputs!$B$23)</f>
        <v>1.2846336986488205</v>
      </c>
      <c r="G9" s="67">
        <f>((HLOOKUP(Results!$B$2,Inputs!$B$2:$L$11,10,FALSE)/($A9*8760)+G$3/1000)*HLOOKUP(Results!$B$2,Inputs!$B$2:'Inputs'!$L$9,4,FALSE) - PMT(HLOOKUP(Results!$B$2,Inputs!$B$2:'Inputs'!$L$9,6,FALSE),HLOOKUP(Results!$B$2,Inputs!$B$2:'Inputs'!$L$9,5,FALSE),PV(HLOOKUP(Results!$B$2,Inputs!$B$2:'Inputs'!$L$9,6,FALSE),10,Inputs!$B$22)))/(1-Inputs!$B$23)</f>
        <v>1.7846336986488214</v>
      </c>
      <c r="H9" s="138">
        <f>((HLOOKUP(Results!$B$2,Inputs!$B$2:$L$11,10,FALSE)/($A9*8760)+H$3/1000)*HLOOKUP(Results!$B$2,Inputs!$B$2:'Inputs'!$L$9,4,FALSE) - PMT(HLOOKUP(Results!$B$2,Inputs!$B$2:'Inputs'!$L$9,6,FALSE),HLOOKUP(Results!$B$2,Inputs!$B$2:'Inputs'!$L$9,5,FALSE),PV(HLOOKUP(Results!$B$2,Inputs!$B$2:'Inputs'!$L$9,6,FALSE),10,Inputs!$B$22)))/(1-Inputs!$B$23)</f>
        <v>2.2846336986488196</v>
      </c>
    </row>
    <row r="10" spans="1:8" ht="15" thickBot="1" x14ac:dyDescent="0.4">
      <c r="A10" s="63">
        <v>0.6</v>
      </c>
      <c r="B10" s="67">
        <f>((HLOOKUP(Results!$B$2,Inputs!$B$2:$L$11,10,FALSE)/($A10*8760)+B$3/1000)*HLOOKUP(Results!$B$2,Inputs!$B$2:'Inputs'!$L$9,4,FALSE) - PMT(HLOOKUP(Results!$B$2,Inputs!$B$2:'Inputs'!$L$9,6,FALSE),HLOOKUP(Results!$B$2,Inputs!$B$2:'Inputs'!$L$9,5,FALSE),PV(HLOOKUP(Results!$B$2,Inputs!$B$2:'Inputs'!$L$9,6,FALSE),10,Inputs!$B$22)))/(1-Inputs!$B$23)</f>
        <v>-1.0961385844593166</v>
      </c>
      <c r="C10" s="67">
        <f>((HLOOKUP(Results!$B$2,Inputs!$B$2:$L$11,10,FALSE)/($A10*8760)+C$3/1000)*HLOOKUP(Results!$B$2,Inputs!$B$2:'Inputs'!$L$9,4,FALSE) - PMT(HLOOKUP(Results!$B$2,Inputs!$B$2:'Inputs'!$L$9,6,FALSE),HLOOKUP(Results!$B$2,Inputs!$B$2:'Inputs'!$L$9,5,FALSE),PV(HLOOKUP(Results!$B$2,Inputs!$B$2:'Inputs'!$L$9,6,FALSE),10,Inputs!$B$22)))/(1-Inputs!$B$23)</f>
        <v>-0.59613858445931633</v>
      </c>
      <c r="D10" s="67">
        <f>((HLOOKUP(Results!$B$2,Inputs!$B$2:$L$11,10,FALSE)/($A10*8760)+D$3/1000)*HLOOKUP(Results!$B$2,Inputs!$B$2:'Inputs'!$L$9,4,FALSE) - PMT(HLOOKUP(Results!$B$2,Inputs!$B$2:'Inputs'!$L$9,6,FALSE),HLOOKUP(Results!$B$2,Inputs!$B$2:'Inputs'!$L$9,5,FALSE),PV(HLOOKUP(Results!$B$2,Inputs!$B$2:'Inputs'!$L$9,6,FALSE),10,Inputs!$B$22)))/(1-Inputs!$B$23)</f>
        <v>-9.6138584459316778E-2</v>
      </c>
      <c r="E10" s="67">
        <f>((HLOOKUP(Results!$B$2,Inputs!$B$2:$L$11,10,FALSE)/($A10*8760)+E$3/1000)*HLOOKUP(Results!$B$2,Inputs!$B$2:'Inputs'!$L$9,4,FALSE) - PMT(HLOOKUP(Results!$B$2,Inputs!$B$2:'Inputs'!$L$9,6,FALSE),HLOOKUP(Results!$B$2,Inputs!$B$2:'Inputs'!$L$9,5,FALSE),PV(HLOOKUP(Results!$B$2,Inputs!$B$2:'Inputs'!$L$9,6,FALSE),10,Inputs!$B$22)))/(1-Inputs!$B$23)</f>
        <v>0.40386141554068322</v>
      </c>
      <c r="F10" s="67">
        <f>((HLOOKUP(Results!$B$2,Inputs!$B$2:$L$11,10,FALSE)/($A10*8760)+F$3/1000)*HLOOKUP(Results!$B$2,Inputs!$B$2:'Inputs'!$L$9,4,FALSE) - PMT(HLOOKUP(Results!$B$2,Inputs!$B$2:'Inputs'!$L$9,6,FALSE),HLOOKUP(Results!$B$2,Inputs!$B$2:'Inputs'!$L$9,5,FALSE),PV(HLOOKUP(Results!$B$2,Inputs!$B$2:'Inputs'!$L$9,6,FALSE),10,Inputs!$B$22)))/(1-Inputs!$B$23)</f>
        <v>0.90386141554068367</v>
      </c>
      <c r="G10" s="67">
        <f>((HLOOKUP(Results!$B$2,Inputs!$B$2:$L$11,10,FALSE)/($A10*8760)+G$3/1000)*HLOOKUP(Results!$B$2,Inputs!$B$2:'Inputs'!$L$9,4,FALSE) - PMT(HLOOKUP(Results!$B$2,Inputs!$B$2:'Inputs'!$L$9,6,FALSE),HLOOKUP(Results!$B$2,Inputs!$B$2:'Inputs'!$L$9,5,FALSE),PV(HLOOKUP(Results!$B$2,Inputs!$B$2:'Inputs'!$L$9,6,FALSE),10,Inputs!$B$22)))/(1-Inputs!$B$23)</f>
        <v>1.4038614155406841</v>
      </c>
      <c r="H10" s="138">
        <f>((HLOOKUP(Results!$B$2,Inputs!$B$2:$L$11,10,FALSE)/($A10*8760)+H$3/1000)*HLOOKUP(Results!$B$2,Inputs!$B$2:'Inputs'!$L$9,4,FALSE) - PMT(HLOOKUP(Results!$B$2,Inputs!$B$2:'Inputs'!$L$9,6,FALSE),HLOOKUP(Results!$B$2,Inputs!$B$2:'Inputs'!$L$9,5,FALSE),PV(HLOOKUP(Results!$B$2,Inputs!$B$2:'Inputs'!$L$9,6,FALSE),10,Inputs!$B$22)))/(1-Inputs!$B$23)</f>
        <v>1.9038614155406832</v>
      </c>
    </row>
    <row r="11" spans="1:8" ht="15" thickBot="1" x14ac:dyDescent="0.4">
      <c r="A11" s="63">
        <v>0.7</v>
      </c>
      <c r="B11" s="67">
        <f>((HLOOKUP(Results!$B$2,Inputs!$B$2:$L$11,10,FALSE)/($A11*8760)+B$3/1000)*HLOOKUP(Results!$B$2,Inputs!$B$2:'Inputs'!$L$9,4,FALSE) - PMT(HLOOKUP(Results!$B$2,Inputs!$B$2:'Inputs'!$L$9,6,FALSE),HLOOKUP(Results!$B$2,Inputs!$B$2:'Inputs'!$L$9,5,FALSE),PV(HLOOKUP(Results!$B$2,Inputs!$B$2:'Inputs'!$L$9,6,FALSE),10,Inputs!$B$22)))/(1-Inputs!$B$23)</f>
        <v>-1.3681187866794142</v>
      </c>
      <c r="C11" s="67">
        <f>((HLOOKUP(Results!$B$2,Inputs!$B$2:$L$11,10,FALSE)/($A11*8760)+C$3/1000)*HLOOKUP(Results!$B$2,Inputs!$B$2:'Inputs'!$L$9,4,FALSE) - PMT(HLOOKUP(Results!$B$2,Inputs!$B$2:'Inputs'!$L$9,6,FALSE),HLOOKUP(Results!$B$2,Inputs!$B$2:'Inputs'!$L$9,5,FALSE),PV(HLOOKUP(Results!$B$2,Inputs!$B$2:'Inputs'!$L$9,6,FALSE),10,Inputs!$B$22)))/(1-Inputs!$B$23)</f>
        <v>-0.868118786679414</v>
      </c>
      <c r="D11" s="67">
        <f>((HLOOKUP(Results!$B$2,Inputs!$B$2:$L$11,10,FALSE)/($A11*8760)+D$3/1000)*HLOOKUP(Results!$B$2,Inputs!$B$2:'Inputs'!$L$9,4,FALSE) - PMT(HLOOKUP(Results!$B$2,Inputs!$B$2:'Inputs'!$L$9,6,FALSE),HLOOKUP(Results!$B$2,Inputs!$B$2:'Inputs'!$L$9,5,FALSE),PV(HLOOKUP(Results!$B$2,Inputs!$B$2:'Inputs'!$L$9,6,FALSE),10,Inputs!$B$22)))/(1-Inputs!$B$23)</f>
        <v>-0.36811878667941444</v>
      </c>
      <c r="E11" s="67">
        <f>((HLOOKUP(Results!$B$2,Inputs!$B$2:$L$11,10,FALSE)/($A11*8760)+E$3/1000)*HLOOKUP(Results!$B$2,Inputs!$B$2:'Inputs'!$L$9,4,FALSE) - PMT(HLOOKUP(Results!$B$2,Inputs!$B$2:'Inputs'!$L$9,6,FALSE),HLOOKUP(Results!$B$2,Inputs!$B$2:'Inputs'!$L$9,5,FALSE),PV(HLOOKUP(Results!$B$2,Inputs!$B$2:'Inputs'!$L$9,6,FALSE),10,Inputs!$B$22)))/(1-Inputs!$B$23)</f>
        <v>0.131881213320586</v>
      </c>
      <c r="F11" s="67">
        <f>((HLOOKUP(Results!$B$2,Inputs!$B$2:$L$11,10,FALSE)/($A11*8760)+F$3/1000)*HLOOKUP(Results!$B$2,Inputs!$B$2:'Inputs'!$L$9,4,FALSE) - PMT(HLOOKUP(Results!$B$2,Inputs!$B$2:'Inputs'!$L$9,6,FALSE),HLOOKUP(Results!$B$2,Inputs!$B$2:'Inputs'!$L$9,5,FALSE),PV(HLOOKUP(Results!$B$2,Inputs!$B$2:'Inputs'!$L$9,6,FALSE),10,Inputs!$B$22)))/(1-Inputs!$B$23)</f>
        <v>0.63188121332058556</v>
      </c>
      <c r="G11" s="67">
        <f>((HLOOKUP(Results!$B$2,Inputs!$B$2:$L$11,10,FALSE)/($A11*8760)+G$3/1000)*HLOOKUP(Results!$B$2,Inputs!$B$2:'Inputs'!$L$9,4,FALSE) - PMT(HLOOKUP(Results!$B$2,Inputs!$B$2:'Inputs'!$L$9,6,FALSE),HLOOKUP(Results!$B$2,Inputs!$B$2:'Inputs'!$L$9,5,FALSE),PV(HLOOKUP(Results!$B$2,Inputs!$B$2:'Inputs'!$L$9,6,FALSE),10,Inputs!$B$22)))/(1-Inputs!$B$23)</f>
        <v>1.1318812133205856</v>
      </c>
      <c r="H11" s="138">
        <f>((HLOOKUP(Results!$B$2,Inputs!$B$2:$L$11,10,FALSE)/($A11*8760)+H$3/1000)*HLOOKUP(Results!$B$2,Inputs!$B$2:'Inputs'!$L$9,4,FALSE) - PMT(HLOOKUP(Results!$B$2,Inputs!$B$2:'Inputs'!$L$9,6,FALSE),HLOOKUP(Results!$B$2,Inputs!$B$2:'Inputs'!$L$9,5,FALSE),PV(HLOOKUP(Results!$B$2,Inputs!$B$2:'Inputs'!$L$9,6,FALSE),10,Inputs!$B$22)))/(1-Inputs!$B$23)</f>
        <v>1.6318812133205856</v>
      </c>
    </row>
    <row r="12" spans="1:8" ht="15" thickBot="1" x14ac:dyDescent="0.4">
      <c r="A12" s="63">
        <v>0.8</v>
      </c>
      <c r="B12" s="67">
        <f>((HLOOKUP(Results!$B$2,Inputs!$B$2:$L$11,10,FALSE)/($A12*8760)+B$3/1000)*HLOOKUP(Results!$B$2,Inputs!$B$2:'Inputs'!$L$9,4,FALSE) - PMT(HLOOKUP(Results!$B$2,Inputs!$B$2:'Inputs'!$L$9,6,FALSE),HLOOKUP(Results!$B$2,Inputs!$B$2:'Inputs'!$L$9,5,FALSE),PV(HLOOKUP(Results!$B$2,Inputs!$B$2:'Inputs'!$L$9,6,FALSE),10,Inputs!$B$22)))/(1-Inputs!$B$23)</f>
        <v>-1.5721039383444875</v>
      </c>
      <c r="C12" s="67">
        <f>((HLOOKUP(Results!$B$2,Inputs!$B$2:$L$11,10,FALSE)/($A12*8760)+C$3/1000)*HLOOKUP(Results!$B$2,Inputs!$B$2:'Inputs'!$L$9,4,FALSE) - PMT(HLOOKUP(Results!$B$2,Inputs!$B$2:'Inputs'!$L$9,6,FALSE),HLOOKUP(Results!$B$2,Inputs!$B$2:'Inputs'!$L$9,5,FALSE),PV(HLOOKUP(Results!$B$2,Inputs!$B$2:'Inputs'!$L$9,6,FALSE),10,Inputs!$B$22)))/(1-Inputs!$B$23)</f>
        <v>-1.0721039383444873</v>
      </c>
      <c r="D12" s="67">
        <f>((HLOOKUP(Results!$B$2,Inputs!$B$2:$L$11,10,FALSE)/($A12*8760)+D$3/1000)*HLOOKUP(Results!$B$2,Inputs!$B$2:'Inputs'!$L$9,4,FALSE) - PMT(HLOOKUP(Results!$B$2,Inputs!$B$2:'Inputs'!$L$9,6,FALSE),HLOOKUP(Results!$B$2,Inputs!$B$2:'Inputs'!$L$9,5,FALSE),PV(HLOOKUP(Results!$B$2,Inputs!$B$2:'Inputs'!$L$9,6,FALSE),10,Inputs!$B$22)))/(1-Inputs!$B$23)</f>
        <v>-0.57210393834448769</v>
      </c>
      <c r="E12" s="67">
        <f>((HLOOKUP(Results!$B$2,Inputs!$B$2:$L$11,10,FALSE)/($A12*8760)+E$3/1000)*HLOOKUP(Results!$B$2,Inputs!$B$2:'Inputs'!$L$9,4,FALSE) - PMT(HLOOKUP(Results!$B$2,Inputs!$B$2:'Inputs'!$L$9,6,FALSE),HLOOKUP(Results!$B$2,Inputs!$B$2:'Inputs'!$L$9,5,FALSE),PV(HLOOKUP(Results!$B$2,Inputs!$B$2:'Inputs'!$L$9,6,FALSE),10,Inputs!$B$22)))/(1-Inputs!$B$23)</f>
        <v>-7.2103938344487695E-2</v>
      </c>
      <c r="F12" s="67">
        <f>((HLOOKUP(Results!$B$2,Inputs!$B$2:$L$11,10,FALSE)/($A12*8760)+F$3/1000)*HLOOKUP(Results!$B$2,Inputs!$B$2:'Inputs'!$L$9,4,FALSE) - PMT(HLOOKUP(Results!$B$2,Inputs!$B$2:'Inputs'!$L$9,6,FALSE),HLOOKUP(Results!$B$2,Inputs!$B$2:'Inputs'!$L$9,5,FALSE),PV(HLOOKUP(Results!$B$2,Inputs!$B$2:'Inputs'!$L$9,6,FALSE),10,Inputs!$B$22)))/(1-Inputs!$B$23)</f>
        <v>0.42789606165551275</v>
      </c>
      <c r="G12" s="67">
        <f>((HLOOKUP(Results!$B$2,Inputs!$B$2:$L$11,10,FALSE)/($A12*8760)+G$3/1000)*HLOOKUP(Results!$B$2,Inputs!$B$2:'Inputs'!$L$9,4,FALSE) - PMT(HLOOKUP(Results!$B$2,Inputs!$B$2:'Inputs'!$L$9,6,FALSE),HLOOKUP(Results!$B$2,Inputs!$B$2:'Inputs'!$L$9,5,FALSE),PV(HLOOKUP(Results!$B$2,Inputs!$B$2:'Inputs'!$L$9,6,FALSE),10,Inputs!$B$22)))/(1-Inputs!$B$23)</f>
        <v>0.92789606165551231</v>
      </c>
      <c r="H12" s="138">
        <f>((HLOOKUP(Results!$B$2,Inputs!$B$2:$L$11,10,FALSE)/($A12*8760)+H$3/1000)*HLOOKUP(Results!$B$2,Inputs!$B$2:'Inputs'!$L$9,4,FALSE) - PMT(HLOOKUP(Results!$B$2,Inputs!$B$2:'Inputs'!$L$9,6,FALSE),HLOOKUP(Results!$B$2,Inputs!$B$2:'Inputs'!$L$9,5,FALSE),PV(HLOOKUP(Results!$B$2,Inputs!$B$2:'Inputs'!$L$9,6,FALSE),10,Inputs!$B$22)))/(1-Inputs!$B$23)</f>
        <v>1.4278960616555127</v>
      </c>
    </row>
    <row r="13" spans="1:8" ht="15" thickBot="1" x14ac:dyDescent="0.4">
      <c r="A13" s="63">
        <v>0.9</v>
      </c>
      <c r="B13" s="67">
        <f>((HLOOKUP(Results!$B$2,Inputs!$B$2:$L$11,10,FALSE)/($A13*8760)+B$3/1000)*HLOOKUP(Results!$B$2,Inputs!$B$2:'Inputs'!$L$9,4,FALSE) - PMT(HLOOKUP(Results!$B$2,Inputs!$B$2:'Inputs'!$L$9,6,FALSE),HLOOKUP(Results!$B$2,Inputs!$B$2:'Inputs'!$L$9,5,FALSE),PV(HLOOKUP(Results!$B$2,Inputs!$B$2:'Inputs'!$L$9,6,FALSE),10,Inputs!$B$22)))/(1-Inputs!$B$23)</f>
        <v>-1.730759056306211</v>
      </c>
      <c r="C13" s="67">
        <f>((HLOOKUP(Results!$B$2,Inputs!$B$2:$L$11,10,FALSE)/($A13*8760)+C$3/1000)*HLOOKUP(Results!$B$2,Inputs!$B$2:'Inputs'!$L$9,4,FALSE) - PMT(HLOOKUP(Results!$B$2,Inputs!$B$2:'Inputs'!$L$9,6,FALSE),HLOOKUP(Results!$B$2,Inputs!$B$2:'Inputs'!$L$9,5,FALSE),PV(HLOOKUP(Results!$B$2,Inputs!$B$2:'Inputs'!$L$9,6,FALSE),10,Inputs!$B$22)))/(1-Inputs!$B$23)</f>
        <v>-1.230759056306211</v>
      </c>
      <c r="D13" s="67">
        <f>((HLOOKUP(Results!$B$2,Inputs!$B$2:$L$11,10,FALSE)/($A13*8760)+D$3/1000)*HLOOKUP(Results!$B$2,Inputs!$B$2:'Inputs'!$L$9,4,FALSE) - PMT(HLOOKUP(Results!$B$2,Inputs!$B$2:'Inputs'!$L$9,6,FALSE),HLOOKUP(Results!$B$2,Inputs!$B$2:'Inputs'!$L$9,5,FALSE),PV(HLOOKUP(Results!$B$2,Inputs!$B$2:'Inputs'!$L$9,6,FALSE),10,Inputs!$B$22)))/(1-Inputs!$B$23)</f>
        <v>-0.73075905630621119</v>
      </c>
      <c r="E13" s="67">
        <f>((HLOOKUP(Results!$B$2,Inputs!$B$2:$L$11,10,FALSE)/($A13*8760)+E$3/1000)*HLOOKUP(Results!$B$2,Inputs!$B$2:'Inputs'!$L$9,4,FALSE) - PMT(HLOOKUP(Results!$B$2,Inputs!$B$2:'Inputs'!$L$9,6,FALSE),HLOOKUP(Results!$B$2,Inputs!$B$2:'Inputs'!$L$9,5,FALSE),PV(HLOOKUP(Results!$B$2,Inputs!$B$2:'Inputs'!$L$9,6,FALSE),10,Inputs!$B$22)))/(1-Inputs!$B$23)</f>
        <v>-0.23075905630621119</v>
      </c>
      <c r="F13" s="67">
        <f>((HLOOKUP(Results!$B$2,Inputs!$B$2:$L$11,10,FALSE)/($A13*8760)+F$3/1000)*HLOOKUP(Results!$B$2,Inputs!$B$2:'Inputs'!$L$9,4,FALSE) - PMT(HLOOKUP(Results!$B$2,Inputs!$B$2:'Inputs'!$L$9,6,FALSE),HLOOKUP(Results!$B$2,Inputs!$B$2:'Inputs'!$L$9,5,FALSE),PV(HLOOKUP(Results!$B$2,Inputs!$B$2:'Inputs'!$L$9,6,FALSE),10,Inputs!$B$22)))/(1-Inputs!$B$23)</f>
        <v>0.26924094369378881</v>
      </c>
      <c r="G13" s="67">
        <f>((HLOOKUP(Results!$B$2,Inputs!$B$2:$L$11,10,FALSE)/($A13*8760)+G$3/1000)*HLOOKUP(Results!$B$2,Inputs!$B$2:'Inputs'!$L$9,4,FALSE) - PMT(HLOOKUP(Results!$B$2,Inputs!$B$2:'Inputs'!$L$9,6,FALSE),HLOOKUP(Results!$B$2,Inputs!$B$2:'Inputs'!$L$9,5,FALSE),PV(HLOOKUP(Results!$B$2,Inputs!$B$2:'Inputs'!$L$9,6,FALSE),10,Inputs!$B$22)))/(1-Inputs!$B$23)</f>
        <v>0.76924094369378926</v>
      </c>
      <c r="H13" s="138">
        <f>((HLOOKUP(Results!$B$2,Inputs!$B$2:$L$11,10,FALSE)/($A13*8760)+H$3/1000)*HLOOKUP(Results!$B$2,Inputs!$B$2:'Inputs'!$L$9,4,FALSE) - PMT(HLOOKUP(Results!$B$2,Inputs!$B$2:'Inputs'!$L$9,6,FALSE),HLOOKUP(Results!$B$2,Inputs!$B$2:'Inputs'!$L$9,5,FALSE),PV(HLOOKUP(Results!$B$2,Inputs!$B$2:'Inputs'!$L$9,6,FALSE),10,Inputs!$B$22)))/(1-Inputs!$B$23)</f>
        <v>1.2692409436937884</v>
      </c>
    </row>
    <row r="14" spans="1:8" ht="15" thickBot="1" x14ac:dyDescent="0.4">
      <c r="A14" s="64">
        <v>1</v>
      </c>
      <c r="B14" s="139">
        <f>((HLOOKUP(Results!$B$2,Inputs!$B$2:$L$11,10,FALSE)/($A14*8760)+B$3/1000)*HLOOKUP(Results!$B$2,Inputs!$B$2:'Inputs'!$L$9,4,FALSE) - PMT(HLOOKUP(Results!$B$2,Inputs!$B$2:'Inputs'!$L$9,6,FALSE),HLOOKUP(Results!$B$2,Inputs!$B$2:'Inputs'!$L$9,5,FALSE),PV(HLOOKUP(Results!$B$2,Inputs!$B$2:'Inputs'!$L$9,6,FALSE),10,Inputs!$B$22)))/(1-Inputs!$B$23)</f>
        <v>-1.85768315067559</v>
      </c>
      <c r="C14" s="139">
        <f>((HLOOKUP(Results!$B$2,Inputs!$B$2:$L$11,10,FALSE)/($A14*8760)+C$3/1000)*HLOOKUP(Results!$B$2,Inputs!$B$2:'Inputs'!$L$9,4,FALSE) - PMT(HLOOKUP(Results!$B$2,Inputs!$B$2:'Inputs'!$L$9,6,FALSE),HLOOKUP(Results!$B$2,Inputs!$B$2:'Inputs'!$L$9,5,FALSE),PV(HLOOKUP(Results!$B$2,Inputs!$B$2:'Inputs'!$L$9,6,FALSE),10,Inputs!$B$22)))/(1-Inputs!$B$23)</f>
        <v>-1.35768315067559</v>
      </c>
      <c r="D14" s="139">
        <f>((HLOOKUP(Results!$B$2,Inputs!$B$2:$L$11,10,FALSE)/($A14*8760)+D$3/1000)*HLOOKUP(Results!$B$2,Inputs!$B$2:'Inputs'!$L$9,4,FALSE) - PMT(HLOOKUP(Results!$B$2,Inputs!$B$2:'Inputs'!$L$9,6,FALSE),HLOOKUP(Results!$B$2,Inputs!$B$2:'Inputs'!$L$9,5,FALSE),PV(HLOOKUP(Results!$B$2,Inputs!$B$2:'Inputs'!$L$9,6,FALSE),10,Inputs!$B$22)))/(1-Inputs!$B$23)</f>
        <v>-0.85768315067558998</v>
      </c>
      <c r="E14" s="139">
        <f>((HLOOKUP(Results!$B$2,Inputs!$B$2:$L$11,10,FALSE)/($A14*8760)+E$3/1000)*HLOOKUP(Results!$B$2,Inputs!$B$2:'Inputs'!$L$9,4,FALSE) - PMT(HLOOKUP(Results!$B$2,Inputs!$B$2:'Inputs'!$L$9,6,FALSE),HLOOKUP(Results!$B$2,Inputs!$B$2:'Inputs'!$L$9,5,FALSE),PV(HLOOKUP(Results!$B$2,Inputs!$B$2:'Inputs'!$L$9,6,FALSE),10,Inputs!$B$22)))/(1-Inputs!$B$23)</f>
        <v>-0.35768315067559042</v>
      </c>
      <c r="F14" s="139">
        <f>((HLOOKUP(Results!$B$2,Inputs!$B$2:$L$11,10,FALSE)/($A14*8760)+F$3/1000)*HLOOKUP(Results!$B$2,Inputs!$B$2:'Inputs'!$L$9,4,FALSE) - PMT(HLOOKUP(Results!$B$2,Inputs!$B$2:'Inputs'!$L$9,6,FALSE),HLOOKUP(Results!$B$2,Inputs!$B$2:'Inputs'!$L$9,5,FALSE),PV(HLOOKUP(Results!$B$2,Inputs!$B$2:'Inputs'!$L$9,6,FALSE),10,Inputs!$B$22)))/(1-Inputs!$B$23)</f>
        <v>0.14231684932441002</v>
      </c>
      <c r="G14" s="139">
        <f>((HLOOKUP(Results!$B$2,Inputs!$B$2:$L$11,10,FALSE)/($A14*8760)+G$3/1000)*HLOOKUP(Results!$B$2,Inputs!$B$2:'Inputs'!$L$9,4,FALSE) - PMT(HLOOKUP(Results!$B$2,Inputs!$B$2:'Inputs'!$L$9,6,FALSE),HLOOKUP(Results!$B$2,Inputs!$B$2:'Inputs'!$L$9,5,FALSE),PV(HLOOKUP(Results!$B$2,Inputs!$B$2:'Inputs'!$L$9,6,FALSE),10,Inputs!$B$22)))/(1-Inputs!$B$23)</f>
        <v>0.64231684932441002</v>
      </c>
      <c r="H14" s="140">
        <f>((HLOOKUP(Results!$B$2,Inputs!$B$2:$L$11,10,FALSE)/($A14*8760)+H$3/1000)*HLOOKUP(Results!$B$2,Inputs!$B$2:'Inputs'!$L$9,4,FALSE) - PMT(HLOOKUP(Results!$B$2,Inputs!$B$2:'Inputs'!$L$9,6,FALSE),HLOOKUP(Results!$B$2,Inputs!$B$2:'Inputs'!$L$9,5,FALSE),PV(HLOOKUP(Results!$B$2,Inputs!$B$2:'Inputs'!$L$9,6,FALSE),10,Inputs!$B$22)))/(1-Inputs!$B$23)</f>
        <v>1.1423168493244096</v>
      </c>
    </row>
    <row r="15" spans="1:8" ht="15" thickTop="1" x14ac:dyDescent="0.35"/>
    <row r="16" spans="1:8" x14ac:dyDescent="0.35">
      <c r="A16" s="165" t="s">
        <v>70</v>
      </c>
      <c r="B16" s="165"/>
      <c r="C16" s="165"/>
      <c r="D16" s="165"/>
      <c r="E16" s="165"/>
      <c r="F16" s="165"/>
      <c r="G16" s="165"/>
      <c r="H16" s="165"/>
    </row>
    <row r="17" spans="1:8" x14ac:dyDescent="0.35">
      <c r="A17" s="165"/>
      <c r="B17" s="165"/>
      <c r="C17" s="165"/>
      <c r="D17" s="165"/>
      <c r="E17" s="165"/>
      <c r="F17" s="165"/>
      <c r="G17" s="165"/>
      <c r="H17" s="165"/>
    </row>
    <row r="18" spans="1:8" x14ac:dyDescent="0.35">
      <c r="A18" s="165"/>
      <c r="B18" s="165"/>
      <c r="C18" s="165"/>
      <c r="D18" s="165"/>
      <c r="E18" s="165"/>
      <c r="F18" s="165"/>
      <c r="G18" s="165"/>
      <c r="H18" s="165"/>
    </row>
    <row r="19" spans="1:8" ht="14.5" customHeight="1" x14ac:dyDescent="0.35">
      <c r="A19" s="165"/>
      <c r="B19" s="165"/>
      <c r="C19" s="165"/>
      <c r="D19" s="165"/>
      <c r="E19" s="165"/>
      <c r="F19" s="165"/>
      <c r="G19" s="165"/>
      <c r="H19" s="165"/>
    </row>
    <row r="61" spans="1:8" x14ac:dyDescent="0.35">
      <c r="A61" s="106"/>
      <c r="B61" s="106"/>
      <c r="C61" s="106"/>
      <c r="D61" s="106"/>
      <c r="E61" s="106"/>
      <c r="F61" s="106"/>
      <c r="G61" s="106"/>
      <c r="H61" s="106"/>
    </row>
    <row r="62" spans="1:8" x14ac:dyDescent="0.35">
      <c r="A62" s="106"/>
      <c r="B62" s="106"/>
      <c r="C62" s="106"/>
      <c r="D62" s="106"/>
      <c r="E62" s="106"/>
      <c r="F62" s="106"/>
      <c r="G62" s="106"/>
      <c r="H62" s="106"/>
    </row>
    <row r="63" spans="1:8" x14ac:dyDescent="0.35">
      <c r="A63" s="106"/>
      <c r="B63" s="106"/>
      <c r="C63" s="106"/>
      <c r="D63" s="106"/>
      <c r="E63" s="106"/>
      <c r="F63" s="106"/>
      <c r="G63" s="106"/>
      <c r="H63" s="106"/>
    </row>
  </sheetData>
  <mergeCells count="2">
    <mergeCell ref="A16:H19"/>
    <mergeCell ref="B2:H2"/>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lorScale" priority="4" id="{8764210D-B15E-4199-9644-141290896765}">
            <x14:colorScale>
              <x14:cfvo type="num">
                <xm:f>Inputs!$B$24-1</xm:f>
              </x14:cfvo>
              <x14:cfvo type="num">
                <xm:f>Inputs!$B$24</xm:f>
              </x14:cfvo>
              <x14:cfvo type="num">
                <xm:f>Inputs!$B$24+1</xm:f>
              </x14:cfvo>
              <x14:color rgb="FF63BE7B"/>
              <x14:color rgb="FFFCFCFF"/>
              <x14:color rgb="FFFF5050"/>
            </x14:colorScale>
          </x14:cfRule>
          <xm:sqref>B5:H14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A6DC4330-8416-4064-9CA1-DA4F13FB374A}">
          <x14:formula1>
            <xm:f>Calculations!$A$2:$A$12</xm:f>
          </x14:formula1>
          <xm:sqref>B2:H2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1C77D-2104-43DE-906C-801A0F07E5A3}">
  <dimension ref="A1:A4"/>
  <sheetViews>
    <sheetView workbookViewId="0"/>
  </sheetViews>
  <sheetFormatPr defaultRowHeight="14.5" x14ac:dyDescent="0.35"/>
  <sheetData>
    <row r="1" spans="1:1" x14ac:dyDescent="0.35">
      <c r="A1" t="s">
        <v>76</v>
      </c>
    </row>
    <row r="2" spans="1:1" x14ac:dyDescent="0.35">
      <c r="A2" t="s">
        <v>97</v>
      </c>
    </row>
    <row r="3" spans="1:1" x14ac:dyDescent="0.35">
      <c r="A3" t="s">
        <v>79</v>
      </c>
    </row>
    <row r="4" spans="1:1" x14ac:dyDescent="0.35">
      <c r="A4" t="s">
        <v>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51"/>
  <sheetViews>
    <sheetView topLeftCell="AK1" zoomScale="90" zoomScaleNormal="90" workbookViewId="0">
      <selection activeCell="AS3" sqref="AS3"/>
    </sheetView>
  </sheetViews>
  <sheetFormatPr defaultRowHeight="14.5" x14ac:dyDescent="0.35"/>
  <cols>
    <col min="6" max="6" width="24.6328125" bestFit="1" customWidth="1"/>
    <col min="8" max="13" width="20.6328125" bestFit="1" customWidth="1"/>
    <col min="15" max="15" width="21.1796875" bestFit="1" customWidth="1"/>
    <col min="17" max="17" width="20.6328125" bestFit="1" customWidth="1"/>
    <col min="19" max="19" width="21.1796875" bestFit="1" customWidth="1"/>
    <col min="21" max="21" width="20.6328125" bestFit="1" customWidth="1"/>
    <col min="23" max="23" width="20.6328125" bestFit="1" customWidth="1"/>
    <col min="25" max="25" width="20.6328125" bestFit="1" customWidth="1"/>
    <col min="27" max="27" width="20.6328125" bestFit="1" customWidth="1"/>
    <col min="29" max="29" width="20.6328125" bestFit="1" customWidth="1"/>
    <col min="30" max="31" width="20.6328125" customWidth="1"/>
    <col min="33" max="33" width="20.6328125" bestFit="1" customWidth="1"/>
    <col min="34" max="37" width="20.6328125" customWidth="1"/>
  </cols>
  <sheetData>
    <row r="1" spans="1:45" x14ac:dyDescent="0.35">
      <c r="A1" t="s">
        <v>2</v>
      </c>
      <c r="F1" t="s">
        <v>9</v>
      </c>
      <c r="G1">
        <v>60</v>
      </c>
      <c r="H1">
        <v>50</v>
      </c>
      <c r="I1">
        <v>40</v>
      </c>
      <c r="J1">
        <v>30</v>
      </c>
      <c r="K1">
        <v>20</v>
      </c>
      <c r="L1">
        <v>10</v>
      </c>
      <c r="M1">
        <v>0</v>
      </c>
      <c r="N1" t="s">
        <v>9</v>
      </c>
      <c r="O1" t="s">
        <v>87</v>
      </c>
      <c r="P1" t="s">
        <v>9</v>
      </c>
      <c r="Q1" t="s">
        <v>88</v>
      </c>
      <c r="R1" t="s">
        <v>9</v>
      </c>
      <c r="S1" t="s">
        <v>89</v>
      </c>
      <c r="T1" t="s">
        <v>9</v>
      </c>
      <c r="U1" t="s">
        <v>90</v>
      </c>
      <c r="V1" t="s">
        <v>9</v>
      </c>
      <c r="W1" t="s">
        <v>73</v>
      </c>
      <c r="X1" t="s">
        <v>9</v>
      </c>
      <c r="Y1" t="s">
        <v>91</v>
      </c>
      <c r="Z1" t="s">
        <v>9</v>
      </c>
      <c r="AA1" t="s">
        <v>92</v>
      </c>
      <c r="AB1" t="s">
        <v>9</v>
      </c>
      <c r="AC1" t="s">
        <v>93</v>
      </c>
      <c r="AD1" t="s">
        <v>9</v>
      </c>
      <c r="AE1" t="s">
        <v>19</v>
      </c>
      <c r="AF1" t="s">
        <v>9</v>
      </c>
      <c r="AG1" t="s">
        <v>24</v>
      </c>
      <c r="AH1" t="s">
        <v>9</v>
      </c>
      <c r="AI1" t="s">
        <v>102</v>
      </c>
      <c r="AJ1" t="s">
        <v>9</v>
      </c>
      <c r="AK1" t="s">
        <v>103</v>
      </c>
      <c r="AL1" t="s">
        <v>9</v>
      </c>
      <c r="AM1" t="s">
        <v>104</v>
      </c>
      <c r="AN1" t="s">
        <v>9</v>
      </c>
      <c r="AO1" t="s">
        <v>105</v>
      </c>
      <c r="AP1" t="s">
        <v>9</v>
      </c>
      <c r="AQ1" t="s">
        <v>94</v>
      </c>
      <c r="AR1" t="s">
        <v>9</v>
      </c>
      <c r="AS1" t="s">
        <v>95</v>
      </c>
    </row>
    <row r="2" spans="1:45" x14ac:dyDescent="0.35">
      <c r="A2" t="s">
        <v>19</v>
      </c>
      <c r="F2">
        <v>0.02</v>
      </c>
      <c r="G2" s="20">
        <f>((HLOOKUP(Results!$B$2,Inputs!$B$2:$L$11,10,FALSE)/($F2*8760)+G$1/1000)*HLOOKUP(Results!$B$2,Inputs!$B$2:'Inputs'!$L$9,4,FALSE) - PMT(HLOOKUP(Results!$B$2,Inputs!$B$2:'Inputs'!$L$9,6,FALSE),HLOOKUP(Results!$B$2,Inputs!$B$2:'Inputs'!$L$9,5,FALSE),PV(HLOOKUP(Results!$B$2,Inputs!$B$2:'Inputs'!$L$9,6,FALSE),10,Inputs!$B$22)))/(1-Inputs!$B$23)</f>
        <v>57.115842466220514</v>
      </c>
      <c r="H2" s="20">
        <f>((HLOOKUP(Results!$B$2,Inputs!$B$2:$L$11,10,FALSE)/($F2*8760)+H$1/1000)*HLOOKUP(Results!$B$2,Inputs!$B$2:'Inputs'!$L$9,4,FALSE) - PMT(HLOOKUP(Results!$B$2,Inputs!$B$2:'Inputs'!$L$9,6,FALSE),HLOOKUP(Results!$B$2,Inputs!$B$2:'Inputs'!$L$9,5,FALSE),PV(HLOOKUP(Results!$B$2,Inputs!$B$2:'Inputs'!$L$9,6,FALSE),10,Inputs!$B$22)))/(1-Inputs!$B$23)</f>
        <v>56.615842466220514</v>
      </c>
      <c r="I2" s="20">
        <f>((HLOOKUP(Results!$B$2,Inputs!$B$2:$L$11,10,FALSE)/($F2*8760)+I$1/1000)*HLOOKUP(Results!$B$2,Inputs!$B$2:'Inputs'!$L$9,4,FALSE) - PMT(HLOOKUP(Results!$B$2,Inputs!$B$2:'Inputs'!$L$9,6,FALSE),HLOOKUP(Results!$B$2,Inputs!$B$2:'Inputs'!$L$9,5,FALSE),PV(HLOOKUP(Results!$B$2,Inputs!$B$2:'Inputs'!$L$9,6,FALSE),10,Inputs!$B$22)))/(1-Inputs!$B$23)</f>
        <v>56.115842466220514</v>
      </c>
      <c r="J2" s="20">
        <f>((HLOOKUP(Results!$B$2,Inputs!$B$2:$L$11,10,FALSE)/($F2*8760)+J$1/1000)*HLOOKUP(Results!$B$2,Inputs!$B$2:'Inputs'!$L$9,4,FALSE) - PMT(HLOOKUP(Results!$B$2,Inputs!$B$2:'Inputs'!$L$9,6,FALSE),HLOOKUP(Results!$B$2,Inputs!$B$2:'Inputs'!$L$9,5,FALSE),PV(HLOOKUP(Results!$B$2,Inputs!$B$2:'Inputs'!$L$9,6,FALSE),10,Inputs!$B$22)))/(1-Inputs!$B$23)</f>
        <v>55.615842466220514</v>
      </c>
      <c r="K2" s="20">
        <f>((HLOOKUP(Results!$B$2,Inputs!$B$2:$L$11,10,FALSE)/($F2*8760)+K$1/1000)*HLOOKUP(Results!$B$2,Inputs!$B$2:'Inputs'!$L$9,4,FALSE) - PMT(HLOOKUP(Results!$B$2,Inputs!$B$2:'Inputs'!$L$9,6,FALSE),HLOOKUP(Results!$B$2,Inputs!$B$2:'Inputs'!$L$9,5,FALSE),PV(HLOOKUP(Results!$B$2,Inputs!$B$2:'Inputs'!$L$9,6,FALSE),10,Inputs!$B$22)))/(1-Inputs!$B$23)</f>
        <v>55.115842466220514</v>
      </c>
      <c r="L2" s="20">
        <f>((HLOOKUP(Results!$B$2,Inputs!$B$2:$L$11,10,FALSE)/($F2*8760)+L$1/1000)*HLOOKUP(Results!$B$2,Inputs!$B$2:'Inputs'!$L$9,4,FALSE) - PMT(HLOOKUP(Results!$B$2,Inputs!$B$2:'Inputs'!$L$9,6,FALSE),HLOOKUP(Results!$B$2,Inputs!$B$2:'Inputs'!$L$9,5,FALSE),PV(HLOOKUP(Results!$B$2,Inputs!$B$2:'Inputs'!$L$9,6,FALSE),10,Inputs!$B$22)))/(1-Inputs!$B$23)</f>
        <v>54.615842466220514</v>
      </c>
      <c r="M2" s="20">
        <f>((HLOOKUP(Results!$B$2,Inputs!$B$2:$L$11,10,FALSE)/($F2*8760)+M$1/1000)*HLOOKUP(Results!$B$2,Inputs!$B$2:'Inputs'!$L$9,4,FALSE) - PMT(HLOOKUP(Results!$B$2,Inputs!$B$2:'Inputs'!$L$9,6,FALSE),HLOOKUP(Results!$B$2,Inputs!$B$2:'Inputs'!$L$9,5,FALSE),PV(HLOOKUP(Results!$B$2,Inputs!$B$2:'Inputs'!$L$9,6,FALSE),10,Inputs!$B$22)))/(1-Inputs!$B$23)</f>
        <v>54.115842466220514</v>
      </c>
      <c r="N2">
        <v>0.92</v>
      </c>
      <c r="O2" s="20">
        <f>((HLOOKUP(Results!$B$2,Inputs!$B$2:$L$11,10,FALSE)/(N2*8760)+31.96/1000)*HLOOKUP(Results!$B$2,Inputs!$B$2:'Inputs'!$L$9,4,FALSE) - PMT(HLOOKUP(Results!$B$2,Inputs!$B$2:'Inputs'!$L$9,6,FALSE),HLOOKUP(Results!$B$2,Inputs!$B$2:'Inputs'!$L$9,5,FALSE),PV(HLOOKUP(Results!$B$2,Inputs!$B$2:'Inputs'!$L$9,6,FALSE),10,Inputs!$B$22)))/(1-Inputs!$B$23)</f>
        <v>-0.16035125073433676</v>
      </c>
      <c r="P2">
        <v>0.71</v>
      </c>
      <c r="Q2" s="20">
        <f>((HLOOKUP(Results!$B$2,Inputs!$B$2:$L$11,10,FALSE)/(P2*8760)+41.57/1000)*HLOOKUP(Results!$B$2,Inputs!$B$2:'Inputs'!$L$9,4,FALSE) - PMT(HLOOKUP(Results!$B$2,Inputs!$B$2:'Inputs'!$L$9,6,FALSE),HLOOKUP(Results!$B$2,Inputs!$B$2:'Inputs'!$L$9,5,FALSE),PV(HLOOKUP(Results!$B$2,Inputs!$B$2:'Inputs'!$L$9,6,FALSE),10,Inputs!$B$22)))/(1-Inputs!$B$23)</f>
        <v>0.68739697087945117</v>
      </c>
      <c r="R2">
        <f>Inputs!D14/100</f>
        <v>0.7</v>
      </c>
      <c r="S2" s="20">
        <f>((HLOOKUP(Results!$B$2,Inputs!$B$2:$L$11,10,FALSE)/(R2*8760)+25/1000)*HLOOKUP(Results!$B$2,Inputs!$B$2:'Inputs'!$L$9,4,FALSE) - PMT(HLOOKUP(Results!$B$2,Inputs!$B$2:'Inputs'!$L$9,6,FALSE),HLOOKUP(Results!$B$2,Inputs!$B$2:'Inputs'!$L$9,5,FALSE),PV(HLOOKUP(Results!$B$2,Inputs!$B$2:'Inputs'!$L$9,6,FALSE),10,Inputs!$B$22)))/(1-Inputs!$B$23)</f>
        <v>-0.11811878667941444</v>
      </c>
      <c r="T2">
        <v>0.85</v>
      </c>
      <c r="U2" s="20">
        <f>((HLOOKUP(Results!$B$2,Inputs!$B$2:$L$11,10,FALSE)/(T2*8760)+21.5/1000)*HLOOKUP(Results!$B$2,Inputs!$B$2:'Inputs'!$L$9,4,FALSE) - PMT(HLOOKUP(Results!$B$2,Inputs!$B$2:'Inputs'!$L$9,6,FALSE),HLOOKUP(Results!$B$2,Inputs!$B$2:'Inputs'!$L$9,5,FALSE),PV(HLOOKUP(Results!$B$2,Inputs!$B$2:'Inputs'!$L$9,6,FALSE),10,Inputs!$B$22)))/(1-Inputs!$B$23)</f>
        <v>-0.58109782432422374</v>
      </c>
      <c r="V2">
        <v>0.26</v>
      </c>
      <c r="W2" s="20">
        <f>((HLOOKUP(Results!$B$2,Inputs!$B$2:$L$11,10,FALSE)/(V2*8760)+23/1000)*HLOOKUP(Results!$B$2,Inputs!$B$2:'Inputs'!$L$9,4,FALSE) - PMT(HLOOKUP(Results!$B$2,Inputs!$B$2:'Inputs'!$L$9,6,FALSE),HLOOKUP(Results!$B$2,Inputs!$B$2:'Inputs'!$L$9,5,FALSE),PV(HLOOKUP(Results!$B$2,Inputs!$B$2:'Inputs'!$L$9,6,FALSE),10,Inputs!$B$22)))/(1-Inputs!$B$23)</f>
        <v>2.5435263435554236</v>
      </c>
      <c r="X2">
        <v>0.72</v>
      </c>
      <c r="Y2" s="20">
        <f>((HLOOKUP(Results!$B$2,Inputs!$B$2:$L$11,10,FALSE)/(X2*8760)+32/1000)*HLOOKUP(Results!$B$2,Inputs!$B$2:'Inputs'!$L$9,4,FALSE) - PMT(HLOOKUP(Results!$B$2,Inputs!$B$2:'Inputs'!$L$9,6,FALSE),HLOOKUP(Results!$B$2,Inputs!$B$2:'Inputs'!$L$9,5,FALSE),PV(HLOOKUP(Results!$B$2,Inputs!$B$2:'Inputs'!$L$9,6,FALSE),10,Inputs!$B$22)))/(1-Inputs!$B$23)</f>
        <v>0.18655117961723588</v>
      </c>
      <c r="Z2">
        <v>0.46</v>
      </c>
      <c r="AA2" s="20">
        <f>((HLOOKUP(Results!$B$2,Inputs!$B$2:$L$11,10,FALSE)/(Z2*8760)+34/1000)*HLOOKUP(Results!$B$2,Inputs!$B$2:'Inputs'!$L$9,4,FALSE) - PMT(HLOOKUP(Results!$B$2,Inputs!$B$2:'Inputs'!$L$9,6,FALSE),HLOOKUP(Results!$B$2,Inputs!$B$2:'Inputs'!$L$9,5,FALSE),PV(HLOOKUP(Results!$B$2,Inputs!$B$2:'Inputs'!$L$9,6,FALSE),10,Inputs!$B$22)))/(1-Inputs!$B$23)</f>
        <v>1.1832974985313265</v>
      </c>
      <c r="AB2">
        <v>0.4</v>
      </c>
      <c r="AC2" s="20">
        <f>((HLOOKUP(Results!$B$2,Inputs!$B$2:$L$11,10,FALSE)/(AB2*8760)+26/1000)*HLOOKUP(Results!$B$2,Inputs!$B$2:'Inputs'!$L$9,4,FALSE) - PMT(HLOOKUP(Results!$B$2,Inputs!$B$2:'Inputs'!$L$9,6,FALSE),HLOOKUP(Results!$B$2,Inputs!$B$2:'Inputs'!$L$9,5,FALSE),PV(HLOOKUP(Results!$B$2,Inputs!$B$2:'Inputs'!$L$9,6,FALSE),10,Inputs!$B$22)))/(1-Inputs!$B$23)</f>
        <v>1.1557921233110258</v>
      </c>
      <c r="AD2" s="70">
        <f>Inputs!B14</f>
        <v>0.7</v>
      </c>
      <c r="AE2" s="20">
        <f>((HLOOKUP(Results!$B$2,Inputs!$B$2:$L$11,10,FALSE)/(AD2*8760)+Inputs!B13/1000)*HLOOKUP(Results!$B$2,Inputs!$B$2:'Inputs'!$L$9,4,FALSE) - PMT(HLOOKUP(Results!$B$2,Inputs!$B$2:'Inputs'!$L$9,6,FALSE),HLOOKUP(Results!$B$2,Inputs!$B$2:'Inputs'!$L$9,5,FALSE),PV(HLOOKUP(Results!$B$2,Inputs!$B$2:'Inputs'!$L$9,6,FALSE),10,Inputs!$B$22)))/(1-Inputs!$B$23)</f>
        <v>0.131881213320586</v>
      </c>
      <c r="AF2">
        <v>0</v>
      </c>
      <c r="AG2" s="20">
        <f>Inputs!$B$24</f>
        <v>1.25</v>
      </c>
      <c r="AH2" s="116">
        <v>0.75</v>
      </c>
      <c r="AI2" s="20">
        <f>((HLOOKUP(Results!$B$2,Inputs!$B$2:$L$11,10,FALSE)/(AH2*8760)+21/1000)*HLOOKUP(Results!$B$2,Inputs!$B$2:'Inputs'!$L$9,4,FALSE) - PMT(HLOOKUP(Results!$B$2,Inputs!$B$2:'Inputs'!$L$9,6,FALSE),HLOOKUP(Results!$B$2,Inputs!$B$2:'Inputs'!$L$9,5,FALSE),PV(HLOOKUP(Results!$B$2,Inputs!$B$2:'Inputs'!$L$9,6,FALSE),10,Inputs!$B$22)))/(1-Inputs!$B$23)</f>
        <v>-0.42691086756745289</v>
      </c>
      <c r="AJ2" s="70">
        <v>0.7</v>
      </c>
      <c r="AK2" s="20">
        <f>((HLOOKUP(Results!$B$2,Inputs!$B$2:$L$11,10,FALSE)/(AJ2*8760)+45/1000)*HLOOKUP(Results!$B$2,Inputs!$B$2:'Inputs'!$L$9,4,FALSE) - PMT(HLOOKUP(Results!$B$2,Inputs!$B$2:'Inputs'!$L$9,6,FALSE),HLOOKUP(Results!$B$2,Inputs!$B$2:'Inputs'!$L$9,5,FALSE),PV(HLOOKUP(Results!$B$2,Inputs!$B$2:'Inputs'!$L$9,6,FALSE),10,Inputs!$B$22)))/(1-Inputs!$B$23)</f>
        <v>0.88188121332058511</v>
      </c>
      <c r="AL2" s="70">
        <v>0.56000000000000005</v>
      </c>
      <c r="AM2" s="20">
        <f>((HLOOKUP(Results!$B$2,Inputs!$B$2:$L$11,10,FALSE)/(AL2*8760)+50/1000)*HLOOKUP(Results!$B$2,Inputs!$B$2:'Inputs'!$L$9,4,FALSE) - PMT(HLOOKUP(Results!$B$2,Inputs!$B$2:'Inputs'!$L$9,6,FALSE),HLOOKUP(Results!$B$2,Inputs!$B$2:'Inputs'!$L$9,5,FALSE),PV(HLOOKUP(Results!$B$2,Inputs!$B$2:'Inputs'!$L$9,6,FALSE),10,Inputs!$B$22)))/(1-Inputs!$B$23)</f>
        <v>1.5398515166507321</v>
      </c>
      <c r="AN2" s="70">
        <v>0.35</v>
      </c>
      <c r="AO2" s="20">
        <f>((HLOOKUP(Results!$B$2,Inputs!$B$2:$L$11,10,FALSE)/(AN2*8760)+30/1000)*HLOOKUP(Results!$B$2,Inputs!$B$2:'Inputs'!$L$9,4,FALSE) - PMT(HLOOKUP(Results!$B$2,Inputs!$B$2:'Inputs'!$L$9,6,FALSE),HLOOKUP(Results!$B$2,Inputs!$B$2:'Inputs'!$L$9,5,FALSE),PV(HLOOKUP(Results!$B$2,Inputs!$B$2:'Inputs'!$L$9,6,FALSE),10,Inputs!$B$22)))/(1-Inputs!$B$23)</f>
        <v>1.7637624266411716</v>
      </c>
      <c r="AP2" s="70">
        <v>0.81</v>
      </c>
      <c r="AQ2" s="20">
        <f>((HLOOKUP(Results!$B$2,Inputs!$B$2:$L$11,10,FALSE)/(AP2*8760)+41/1000)*HLOOKUP(Results!$B$2,Inputs!$B$2:'Inputs'!$L$9,4,FALSE) - PMT(HLOOKUP(Results!$B$2,Inputs!$B$2:'Inputs'!$L$9,6,FALSE),HLOOKUP(Results!$B$2,Inputs!$B$2:'Inputs'!$L$9,5,FALSE),PV(HLOOKUP(Results!$B$2,Inputs!$B$2:'Inputs'!$L$9,6,FALSE),10,Inputs!$B$22)))/(1-Inputs!$B$23)</f>
        <v>0.46026771521532162</v>
      </c>
      <c r="AR2" s="70">
        <v>0.83</v>
      </c>
      <c r="AS2" s="20">
        <f>((HLOOKUP(Results!$B$2,Inputs!$B$2:$L$11,10,FALSE)/(AR2*8760)+27/1000)*HLOOKUP(Results!$B$2,Inputs!$B$2:'Inputs'!$L$9,4,FALSE) - PMT(HLOOKUP(Results!$B$2,Inputs!$B$2:'Inputs'!$L$9,6,FALSE),HLOOKUP(Results!$B$2,Inputs!$B$2:'Inputs'!$L$9,5,FALSE),PV(HLOOKUP(Results!$B$2,Inputs!$B$2:'Inputs'!$L$9,6,FALSE),10,Inputs!$B$22)))/(1-Inputs!$B$23)</f>
        <v>-0.27371463936818019</v>
      </c>
    </row>
    <row r="3" spans="1:45" x14ac:dyDescent="0.35">
      <c r="A3" t="s">
        <v>74</v>
      </c>
      <c r="F3">
        <v>0.04</v>
      </c>
      <c r="G3" s="20">
        <f>((HLOOKUP(Results!$B$2,Inputs!$B$2:$L$11,10,FALSE)/($F3*8760)+G$1/1000)*HLOOKUP(Results!$B$2,Inputs!$B$2:'Inputs'!$L$9,4,FALSE) - PMT(HLOOKUP(Results!$B$2,Inputs!$B$2:'Inputs'!$L$9,6,FALSE),HLOOKUP(Results!$B$2,Inputs!$B$2:'Inputs'!$L$9,5,FALSE),PV(HLOOKUP(Results!$B$2,Inputs!$B$2:'Inputs'!$L$9,6,FALSE),10,Inputs!$B$22)))/(1-Inputs!$B$23)</f>
        <v>28.557921233110253</v>
      </c>
      <c r="H3" s="20">
        <f>((HLOOKUP(Results!$B$2,Inputs!$B$2:$L$11,10,FALSE)/($F3*8760)+H$1/1000)*HLOOKUP(Results!$B$2,Inputs!$B$2:'Inputs'!$L$9,4,FALSE) - PMT(HLOOKUP(Results!$B$2,Inputs!$B$2:'Inputs'!$L$9,6,FALSE),HLOOKUP(Results!$B$2,Inputs!$B$2:'Inputs'!$L$9,5,FALSE),PV(HLOOKUP(Results!$B$2,Inputs!$B$2:'Inputs'!$L$9,6,FALSE),10,Inputs!$B$22)))/(1-Inputs!$B$23)</f>
        <v>28.057921233110257</v>
      </c>
      <c r="I3" s="20">
        <f>((HLOOKUP(Results!$B$2,Inputs!$B$2:$L$11,10,FALSE)/($F3*8760)+I$1/1000)*HLOOKUP(Results!$B$2,Inputs!$B$2:'Inputs'!$L$9,4,FALSE) - PMT(HLOOKUP(Results!$B$2,Inputs!$B$2:'Inputs'!$L$9,6,FALSE),HLOOKUP(Results!$B$2,Inputs!$B$2:'Inputs'!$L$9,5,FALSE),PV(HLOOKUP(Results!$B$2,Inputs!$B$2:'Inputs'!$L$9,6,FALSE),10,Inputs!$B$22)))/(1-Inputs!$B$23)</f>
        <v>27.557921233110257</v>
      </c>
      <c r="J3" s="20">
        <f>((HLOOKUP(Results!$B$2,Inputs!$B$2:$L$11,10,FALSE)/($F3*8760)+J$1/1000)*HLOOKUP(Results!$B$2,Inputs!$B$2:'Inputs'!$L$9,4,FALSE) - PMT(HLOOKUP(Results!$B$2,Inputs!$B$2:'Inputs'!$L$9,6,FALSE),HLOOKUP(Results!$B$2,Inputs!$B$2:'Inputs'!$L$9,5,FALSE),PV(HLOOKUP(Results!$B$2,Inputs!$B$2:'Inputs'!$L$9,6,FALSE),10,Inputs!$B$22)))/(1-Inputs!$B$23)</f>
        <v>27.057921233110257</v>
      </c>
      <c r="K3" s="20">
        <f>((HLOOKUP(Results!$B$2,Inputs!$B$2:$L$11,10,FALSE)/($F3*8760)+K$1/1000)*HLOOKUP(Results!$B$2,Inputs!$B$2:'Inputs'!$L$9,4,FALSE) - PMT(HLOOKUP(Results!$B$2,Inputs!$B$2:'Inputs'!$L$9,6,FALSE),HLOOKUP(Results!$B$2,Inputs!$B$2:'Inputs'!$L$9,5,FALSE),PV(HLOOKUP(Results!$B$2,Inputs!$B$2:'Inputs'!$L$9,6,FALSE),10,Inputs!$B$22)))/(1-Inputs!$B$23)</f>
        <v>26.557921233110257</v>
      </c>
      <c r="L3" s="20">
        <f>((HLOOKUP(Results!$B$2,Inputs!$B$2:$L$11,10,FALSE)/($F3*8760)+L$1/1000)*HLOOKUP(Results!$B$2,Inputs!$B$2:'Inputs'!$L$9,4,FALSE) - PMT(HLOOKUP(Results!$B$2,Inputs!$B$2:'Inputs'!$L$9,6,FALSE),HLOOKUP(Results!$B$2,Inputs!$B$2:'Inputs'!$L$9,5,FALSE),PV(HLOOKUP(Results!$B$2,Inputs!$B$2:'Inputs'!$L$9,6,FALSE),10,Inputs!$B$22)))/(1-Inputs!$B$23)</f>
        <v>26.057921233110257</v>
      </c>
      <c r="M3" s="20">
        <f>((HLOOKUP(Results!$B$2,Inputs!$B$2:$L$11,10,FALSE)/($F3*8760)+M$1/1000)*HLOOKUP(Results!$B$2,Inputs!$B$2:'Inputs'!$L$9,4,FALSE) - PMT(HLOOKUP(Results!$B$2,Inputs!$B$2:'Inputs'!$L$9,6,FALSE),HLOOKUP(Results!$B$2,Inputs!$B$2:'Inputs'!$L$9,5,FALSE),PV(HLOOKUP(Results!$B$2,Inputs!$B$2:'Inputs'!$L$9,6,FALSE),10,Inputs!$B$22)))/(1-Inputs!$B$23)</f>
        <v>25.557921233110257</v>
      </c>
      <c r="Q3" s="3"/>
      <c r="S3" s="3"/>
      <c r="U3" s="3"/>
      <c r="W3" s="3"/>
      <c r="Y3" s="3"/>
      <c r="AA3" s="3"/>
      <c r="AC3" s="3"/>
      <c r="AD3" s="3"/>
      <c r="AE3" s="3"/>
      <c r="AF3">
        <v>1</v>
      </c>
      <c r="AG3" s="20">
        <f>Inputs!$B$24</f>
        <v>1.25</v>
      </c>
      <c r="AH3" s="70"/>
      <c r="AI3" s="70"/>
      <c r="AJ3" s="70"/>
      <c r="AK3" s="70"/>
      <c r="AL3" s="70"/>
      <c r="AM3" s="70"/>
      <c r="AN3" s="70"/>
      <c r="AO3" s="70"/>
    </row>
    <row r="4" spans="1:45" x14ac:dyDescent="0.35">
      <c r="A4" t="s">
        <v>3</v>
      </c>
      <c r="F4">
        <v>0.06</v>
      </c>
      <c r="G4" s="20">
        <f>((HLOOKUP(Results!$B$2,Inputs!$B$2:$L$11,10,FALSE)/($F4*8760)+G$1/1000)*HLOOKUP(Results!$B$2,Inputs!$B$2:'Inputs'!$L$9,4,FALSE) - PMT(HLOOKUP(Results!$B$2,Inputs!$B$2:'Inputs'!$L$9,6,FALSE),HLOOKUP(Results!$B$2,Inputs!$B$2:'Inputs'!$L$9,5,FALSE),PV(HLOOKUP(Results!$B$2,Inputs!$B$2:'Inputs'!$L$9,6,FALSE),10,Inputs!$B$22)))/(1-Inputs!$B$23)</f>
        <v>19.038614155406837</v>
      </c>
      <c r="H4" s="20">
        <f>((HLOOKUP(Results!$B$2,Inputs!$B$2:$L$11,10,FALSE)/($F4*8760)+H$1/1000)*HLOOKUP(Results!$B$2,Inputs!$B$2:'Inputs'!$L$9,4,FALSE) - PMT(HLOOKUP(Results!$B$2,Inputs!$B$2:'Inputs'!$L$9,6,FALSE),HLOOKUP(Results!$B$2,Inputs!$B$2:'Inputs'!$L$9,5,FALSE),PV(HLOOKUP(Results!$B$2,Inputs!$B$2:'Inputs'!$L$9,6,FALSE),10,Inputs!$B$22)))/(1-Inputs!$B$23)</f>
        <v>18.538614155406837</v>
      </c>
      <c r="I4" s="20">
        <f>((HLOOKUP(Results!$B$2,Inputs!$B$2:$L$11,10,FALSE)/($F4*8760)+I$1/1000)*HLOOKUP(Results!$B$2,Inputs!$B$2:'Inputs'!$L$9,4,FALSE) - PMT(HLOOKUP(Results!$B$2,Inputs!$B$2:'Inputs'!$L$9,6,FALSE),HLOOKUP(Results!$B$2,Inputs!$B$2:'Inputs'!$L$9,5,FALSE),PV(HLOOKUP(Results!$B$2,Inputs!$B$2:'Inputs'!$L$9,6,FALSE),10,Inputs!$B$22)))/(1-Inputs!$B$23)</f>
        <v>18.038614155406837</v>
      </c>
      <c r="J4" s="20">
        <f>((HLOOKUP(Results!$B$2,Inputs!$B$2:$L$11,10,FALSE)/($F4*8760)+J$1/1000)*HLOOKUP(Results!$B$2,Inputs!$B$2:'Inputs'!$L$9,4,FALSE) - PMT(HLOOKUP(Results!$B$2,Inputs!$B$2:'Inputs'!$L$9,6,FALSE),HLOOKUP(Results!$B$2,Inputs!$B$2:'Inputs'!$L$9,5,FALSE),PV(HLOOKUP(Results!$B$2,Inputs!$B$2:'Inputs'!$L$9,6,FALSE),10,Inputs!$B$22)))/(1-Inputs!$B$23)</f>
        <v>17.538614155406837</v>
      </c>
      <c r="K4" s="20">
        <f>((HLOOKUP(Results!$B$2,Inputs!$B$2:$L$11,10,FALSE)/($F4*8760)+K$1/1000)*HLOOKUP(Results!$B$2,Inputs!$B$2:'Inputs'!$L$9,4,FALSE) - PMT(HLOOKUP(Results!$B$2,Inputs!$B$2:'Inputs'!$L$9,6,FALSE),HLOOKUP(Results!$B$2,Inputs!$B$2:'Inputs'!$L$9,5,FALSE),PV(HLOOKUP(Results!$B$2,Inputs!$B$2:'Inputs'!$L$9,6,FALSE),10,Inputs!$B$22)))/(1-Inputs!$B$23)</f>
        <v>17.03861415540684</v>
      </c>
      <c r="L4" s="20">
        <f>((HLOOKUP(Results!$B$2,Inputs!$B$2:$L$11,10,FALSE)/($F4*8760)+L$1/1000)*HLOOKUP(Results!$B$2,Inputs!$B$2:'Inputs'!$L$9,4,FALSE) - PMT(HLOOKUP(Results!$B$2,Inputs!$B$2:'Inputs'!$L$9,6,FALSE),HLOOKUP(Results!$B$2,Inputs!$B$2:'Inputs'!$L$9,5,FALSE),PV(HLOOKUP(Results!$B$2,Inputs!$B$2:'Inputs'!$L$9,6,FALSE),10,Inputs!$B$22)))/(1-Inputs!$B$23)</f>
        <v>16.53861415540684</v>
      </c>
      <c r="M4" s="20">
        <f>((HLOOKUP(Results!$B$2,Inputs!$B$2:$L$11,10,FALSE)/($F4*8760)+M$1/1000)*HLOOKUP(Results!$B$2,Inputs!$B$2:'Inputs'!$L$9,4,FALSE) - PMT(HLOOKUP(Results!$B$2,Inputs!$B$2:'Inputs'!$L$9,6,FALSE),HLOOKUP(Results!$B$2,Inputs!$B$2:'Inputs'!$L$9,5,FALSE),PV(HLOOKUP(Results!$B$2,Inputs!$B$2:'Inputs'!$L$9,6,FALSE),10,Inputs!$B$22)))/(1-Inputs!$B$23)</f>
        <v>16.038614155406837</v>
      </c>
      <c r="AG4" s="20"/>
      <c r="AH4" s="20"/>
      <c r="AI4" s="20"/>
      <c r="AJ4" s="20"/>
      <c r="AK4" s="20"/>
    </row>
    <row r="5" spans="1:45" x14ac:dyDescent="0.35">
      <c r="A5" t="s">
        <v>45</v>
      </c>
      <c r="F5">
        <v>0.08</v>
      </c>
      <c r="G5" s="20">
        <f>((HLOOKUP(Results!$B$2,Inputs!$B$2:$L$11,10,FALSE)/($F5*8760)+G$1/1000)*HLOOKUP(Results!$B$2,Inputs!$B$2:'Inputs'!$L$9,4,FALSE) - PMT(HLOOKUP(Results!$B$2,Inputs!$B$2:'Inputs'!$L$9,6,FALSE),HLOOKUP(Results!$B$2,Inputs!$B$2:'Inputs'!$L$9,5,FALSE),PV(HLOOKUP(Results!$B$2,Inputs!$B$2:'Inputs'!$L$9,6,FALSE),10,Inputs!$B$22)))/(1-Inputs!$B$23)</f>
        <v>14.278960616555128</v>
      </c>
      <c r="H5" s="20">
        <f>((HLOOKUP(Results!$B$2,Inputs!$B$2:$L$11,10,FALSE)/($F5*8760)+H$1/1000)*HLOOKUP(Results!$B$2,Inputs!$B$2:'Inputs'!$L$9,4,FALSE) - PMT(HLOOKUP(Results!$B$2,Inputs!$B$2:'Inputs'!$L$9,6,FALSE),HLOOKUP(Results!$B$2,Inputs!$B$2:'Inputs'!$L$9,5,FALSE),PV(HLOOKUP(Results!$B$2,Inputs!$B$2:'Inputs'!$L$9,6,FALSE),10,Inputs!$B$22)))/(1-Inputs!$B$23)</f>
        <v>13.778960616555128</v>
      </c>
      <c r="I5" s="20">
        <f>((HLOOKUP(Results!$B$2,Inputs!$B$2:$L$11,10,FALSE)/($F5*8760)+I$1/1000)*HLOOKUP(Results!$B$2,Inputs!$B$2:'Inputs'!$L$9,4,FALSE) - PMT(HLOOKUP(Results!$B$2,Inputs!$B$2:'Inputs'!$L$9,6,FALSE),HLOOKUP(Results!$B$2,Inputs!$B$2:'Inputs'!$L$9,5,FALSE),PV(HLOOKUP(Results!$B$2,Inputs!$B$2:'Inputs'!$L$9,6,FALSE),10,Inputs!$B$22)))/(1-Inputs!$B$23)</f>
        <v>13.278960616555128</v>
      </c>
      <c r="J5" s="20">
        <f>((HLOOKUP(Results!$B$2,Inputs!$B$2:$L$11,10,FALSE)/($F5*8760)+J$1/1000)*HLOOKUP(Results!$B$2,Inputs!$B$2:'Inputs'!$L$9,4,FALSE) - PMT(HLOOKUP(Results!$B$2,Inputs!$B$2:'Inputs'!$L$9,6,FALSE),HLOOKUP(Results!$B$2,Inputs!$B$2:'Inputs'!$L$9,5,FALSE),PV(HLOOKUP(Results!$B$2,Inputs!$B$2:'Inputs'!$L$9,6,FALSE),10,Inputs!$B$22)))/(1-Inputs!$B$23)</f>
        <v>12.778960616555127</v>
      </c>
      <c r="K5" s="20">
        <f>((HLOOKUP(Results!$B$2,Inputs!$B$2:$L$11,10,FALSE)/($F5*8760)+K$1/1000)*HLOOKUP(Results!$B$2,Inputs!$B$2:'Inputs'!$L$9,4,FALSE) - PMT(HLOOKUP(Results!$B$2,Inputs!$B$2:'Inputs'!$L$9,6,FALSE),HLOOKUP(Results!$B$2,Inputs!$B$2:'Inputs'!$L$9,5,FALSE),PV(HLOOKUP(Results!$B$2,Inputs!$B$2:'Inputs'!$L$9,6,FALSE),10,Inputs!$B$22)))/(1-Inputs!$B$23)</f>
        <v>12.278960616555128</v>
      </c>
      <c r="L5" s="20">
        <f>((HLOOKUP(Results!$B$2,Inputs!$B$2:$L$11,10,FALSE)/($F5*8760)+L$1/1000)*HLOOKUP(Results!$B$2,Inputs!$B$2:'Inputs'!$L$9,4,FALSE) - PMT(HLOOKUP(Results!$B$2,Inputs!$B$2:'Inputs'!$L$9,6,FALSE),HLOOKUP(Results!$B$2,Inputs!$B$2:'Inputs'!$L$9,5,FALSE),PV(HLOOKUP(Results!$B$2,Inputs!$B$2:'Inputs'!$L$9,6,FALSE),10,Inputs!$B$22)))/(1-Inputs!$B$23)</f>
        <v>11.778960616555128</v>
      </c>
      <c r="M5" s="20">
        <f>((HLOOKUP(Results!$B$2,Inputs!$B$2:$L$11,10,FALSE)/($F5*8760)+M$1/1000)*HLOOKUP(Results!$B$2,Inputs!$B$2:'Inputs'!$L$9,4,FALSE) - PMT(HLOOKUP(Results!$B$2,Inputs!$B$2:'Inputs'!$L$9,6,FALSE),HLOOKUP(Results!$B$2,Inputs!$B$2:'Inputs'!$L$9,5,FALSE),PV(HLOOKUP(Results!$B$2,Inputs!$B$2:'Inputs'!$L$9,6,FALSE),10,Inputs!$B$22)))/(1-Inputs!$B$23)</f>
        <v>11.278960616555128</v>
      </c>
    </row>
    <row r="6" spans="1:45" x14ac:dyDescent="0.35">
      <c r="A6" t="s">
        <v>100</v>
      </c>
      <c r="F6">
        <v>0.1</v>
      </c>
      <c r="G6" s="20">
        <f>((HLOOKUP(Results!$B$2,Inputs!$B$2:$L$11,10,FALSE)/($F6*8760)+G$1/1000)*HLOOKUP(Results!$B$2,Inputs!$B$2:'Inputs'!$L$9,4,FALSE) - PMT(HLOOKUP(Results!$B$2,Inputs!$B$2:'Inputs'!$L$9,6,FALSE),HLOOKUP(Results!$B$2,Inputs!$B$2:'Inputs'!$L$9,5,FALSE),PV(HLOOKUP(Results!$B$2,Inputs!$B$2:'Inputs'!$L$9,6,FALSE),10,Inputs!$B$22)))/(1-Inputs!$B$23)</f>
        <v>11.423168493244104</v>
      </c>
      <c r="H6" s="20">
        <f>((HLOOKUP(Results!$B$2,Inputs!$B$2:$L$11,10,FALSE)/($F6*8760)+H$1/1000)*HLOOKUP(Results!$B$2,Inputs!$B$2:'Inputs'!$L$9,4,FALSE) - PMT(HLOOKUP(Results!$B$2,Inputs!$B$2:'Inputs'!$L$9,6,FALSE),HLOOKUP(Results!$B$2,Inputs!$B$2:'Inputs'!$L$9,5,FALSE),PV(HLOOKUP(Results!$B$2,Inputs!$B$2:'Inputs'!$L$9,6,FALSE),10,Inputs!$B$22)))/(1-Inputs!$B$23)</f>
        <v>10.923168493244104</v>
      </c>
      <c r="I6" s="20">
        <f>((HLOOKUP(Results!$B$2,Inputs!$B$2:$L$11,10,FALSE)/($F6*8760)+I$1/1000)*HLOOKUP(Results!$B$2,Inputs!$B$2:'Inputs'!$L$9,4,FALSE) - PMT(HLOOKUP(Results!$B$2,Inputs!$B$2:'Inputs'!$L$9,6,FALSE),HLOOKUP(Results!$B$2,Inputs!$B$2:'Inputs'!$L$9,5,FALSE),PV(HLOOKUP(Results!$B$2,Inputs!$B$2:'Inputs'!$L$9,6,FALSE),10,Inputs!$B$22)))/(1-Inputs!$B$23)</f>
        <v>10.423168493244104</v>
      </c>
      <c r="J6" s="20">
        <f>((HLOOKUP(Results!$B$2,Inputs!$B$2:$L$11,10,FALSE)/($F6*8760)+J$1/1000)*HLOOKUP(Results!$B$2,Inputs!$B$2:'Inputs'!$L$9,4,FALSE) - PMT(HLOOKUP(Results!$B$2,Inputs!$B$2:'Inputs'!$L$9,6,FALSE),HLOOKUP(Results!$B$2,Inputs!$B$2:'Inputs'!$L$9,5,FALSE),PV(HLOOKUP(Results!$B$2,Inputs!$B$2:'Inputs'!$L$9,6,FALSE),10,Inputs!$B$22)))/(1-Inputs!$B$23)</f>
        <v>9.923168493244102</v>
      </c>
      <c r="K6" s="20">
        <f>((HLOOKUP(Results!$B$2,Inputs!$B$2:$L$11,10,FALSE)/($F6*8760)+K$1/1000)*HLOOKUP(Results!$B$2,Inputs!$B$2:'Inputs'!$L$9,4,FALSE) - PMT(HLOOKUP(Results!$B$2,Inputs!$B$2:'Inputs'!$L$9,6,FALSE),HLOOKUP(Results!$B$2,Inputs!$B$2:'Inputs'!$L$9,5,FALSE),PV(HLOOKUP(Results!$B$2,Inputs!$B$2:'Inputs'!$L$9,6,FALSE),10,Inputs!$B$22)))/(1-Inputs!$B$23)</f>
        <v>9.4231684932441038</v>
      </c>
      <c r="L6" s="20">
        <f>((HLOOKUP(Results!$B$2,Inputs!$B$2:$L$11,10,FALSE)/($F6*8760)+L$1/1000)*HLOOKUP(Results!$B$2,Inputs!$B$2:'Inputs'!$L$9,4,FALSE) - PMT(HLOOKUP(Results!$B$2,Inputs!$B$2:'Inputs'!$L$9,6,FALSE),HLOOKUP(Results!$B$2,Inputs!$B$2:'Inputs'!$L$9,5,FALSE),PV(HLOOKUP(Results!$B$2,Inputs!$B$2:'Inputs'!$L$9,6,FALSE),10,Inputs!$B$22)))/(1-Inputs!$B$23)</f>
        <v>8.9231684932441038</v>
      </c>
      <c r="M6" s="20">
        <f>((HLOOKUP(Results!$B$2,Inputs!$B$2:$L$11,10,FALSE)/($F6*8760)+M$1/1000)*HLOOKUP(Results!$B$2,Inputs!$B$2:'Inputs'!$L$9,4,FALSE) - PMT(HLOOKUP(Results!$B$2,Inputs!$B$2:'Inputs'!$L$9,6,FALSE),HLOOKUP(Results!$B$2,Inputs!$B$2:'Inputs'!$L$9,5,FALSE),PV(HLOOKUP(Results!$B$2,Inputs!$B$2:'Inputs'!$L$9,6,FALSE),10,Inputs!$B$22)))/(1-Inputs!$B$23)</f>
        <v>8.4231684932441038</v>
      </c>
    </row>
    <row r="7" spans="1:45" x14ac:dyDescent="0.35">
      <c r="A7" t="s">
        <v>101</v>
      </c>
      <c r="F7">
        <v>0.12</v>
      </c>
      <c r="G7" s="20">
        <f>((HLOOKUP(Results!$B$2,Inputs!$B$2:$L$11,10,FALSE)/($F7*8760)+G$1/1000)*HLOOKUP(Results!$B$2,Inputs!$B$2:'Inputs'!$L$9,4,FALSE) - PMT(HLOOKUP(Results!$B$2,Inputs!$B$2:'Inputs'!$L$9,6,FALSE),HLOOKUP(Results!$B$2,Inputs!$B$2:'Inputs'!$L$9,5,FALSE),PV(HLOOKUP(Results!$B$2,Inputs!$B$2:'Inputs'!$L$9,6,FALSE),10,Inputs!$B$22)))/(1-Inputs!$B$23)</f>
        <v>9.5193070777034183</v>
      </c>
      <c r="H7" s="20">
        <f>((HLOOKUP(Results!$B$2,Inputs!$B$2:$L$11,10,FALSE)/($F7*8760)+H$1/1000)*HLOOKUP(Results!$B$2,Inputs!$B$2:'Inputs'!$L$9,4,FALSE) - PMT(HLOOKUP(Results!$B$2,Inputs!$B$2:'Inputs'!$L$9,6,FALSE),HLOOKUP(Results!$B$2,Inputs!$B$2:'Inputs'!$L$9,5,FALSE),PV(HLOOKUP(Results!$B$2,Inputs!$B$2:'Inputs'!$L$9,6,FALSE),10,Inputs!$B$22)))/(1-Inputs!$B$23)</f>
        <v>9.0193070777034201</v>
      </c>
      <c r="I7" s="20">
        <f>((HLOOKUP(Results!$B$2,Inputs!$B$2:$L$11,10,FALSE)/($F7*8760)+I$1/1000)*HLOOKUP(Results!$B$2,Inputs!$B$2:'Inputs'!$L$9,4,FALSE) - PMT(HLOOKUP(Results!$B$2,Inputs!$B$2:'Inputs'!$L$9,6,FALSE),HLOOKUP(Results!$B$2,Inputs!$B$2:'Inputs'!$L$9,5,FALSE),PV(HLOOKUP(Results!$B$2,Inputs!$B$2:'Inputs'!$L$9,6,FALSE),10,Inputs!$B$22)))/(1-Inputs!$B$23)</f>
        <v>8.5193070777034201</v>
      </c>
      <c r="J7" s="20">
        <f>((HLOOKUP(Results!$B$2,Inputs!$B$2:$L$11,10,FALSE)/($F7*8760)+J$1/1000)*HLOOKUP(Results!$B$2,Inputs!$B$2:'Inputs'!$L$9,4,FALSE) - PMT(HLOOKUP(Results!$B$2,Inputs!$B$2:'Inputs'!$L$9,6,FALSE),HLOOKUP(Results!$B$2,Inputs!$B$2:'Inputs'!$L$9,5,FALSE),PV(HLOOKUP(Results!$B$2,Inputs!$B$2:'Inputs'!$L$9,6,FALSE),10,Inputs!$B$22)))/(1-Inputs!$B$23)</f>
        <v>8.0193070777034183</v>
      </c>
      <c r="K7" s="20">
        <f>((HLOOKUP(Results!$B$2,Inputs!$B$2:$L$11,10,FALSE)/($F7*8760)+K$1/1000)*HLOOKUP(Results!$B$2,Inputs!$B$2:'Inputs'!$L$9,4,FALSE) - PMT(HLOOKUP(Results!$B$2,Inputs!$B$2:'Inputs'!$L$9,6,FALSE),HLOOKUP(Results!$B$2,Inputs!$B$2:'Inputs'!$L$9,5,FALSE),PV(HLOOKUP(Results!$B$2,Inputs!$B$2:'Inputs'!$L$9,6,FALSE),10,Inputs!$B$22)))/(1-Inputs!$B$23)</f>
        <v>7.5193070777034183</v>
      </c>
      <c r="L7" s="20">
        <f>((HLOOKUP(Results!$B$2,Inputs!$B$2:$L$11,10,FALSE)/($F7*8760)+L$1/1000)*HLOOKUP(Results!$B$2,Inputs!$B$2:'Inputs'!$L$9,4,FALSE) - PMT(HLOOKUP(Results!$B$2,Inputs!$B$2:'Inputs'!$L$9,6,FALSE),HLOOKUP(Results!$B$2,Inputs!$B$2:'Inputs'!$L$9,5,FALSE),PV(HLOOKUP(Results!$B$2,Inputs!$B$2:'Inputs'!$L$9,6,FALSE),10,Inputs!$B$22)))/(1-Inputs!$B$23)</f>
        <v>7.0193070777034201</v>
      </c>
      <c r="M7" s="20">
        <f>((HLOOKUP(Results!$B$2,Inputs!$B$2:$L$11,10,FALSE)/($F7*8760)+M$1/1000)*HLOOKUP(Results!$B$2,Inputs!$B$2:'Inputs'!$L$9,4,FALSE) - PMT(HLOOKUP(Results!$B$2,Inputs!$B$2:'Inputs'!$L$9,6,FALSE),HLOOKUP(Results!$B$2,Inputs!$B$2:'Inputs'!$L$9,5,FALSE),PV(HLOOKUP(Results!$B$2,Inputs!$B$2:'Inputs'!$L$9,6,FALSE),10,Inputs!$B$22)))/(1-Inputs!$B$23)</f>
        <v>6.5193070777034183</v>
      </c>
    </row>
    <row r="8" spans="1:45" x14ac:dyDescent="0.35">
      <c r="A8" t="s">
        <v>53</v>
      </c>
      <c r="F8">
        <v>0.14000000000000001</v>
      </c>
      <c r="G8" s="20">
        <f>((HLOOKUP(Results!$B$2,Inputs!$B$2:$L$11,10,FALSE)/($F8*8760)+G$1/1000)*HLOOKUP(Results!$B$2,Inputs!$B$2:'Inputs'!$L$9,4,FALSE) - PMT(HLOOKUP(Results!$B$2,Inputs!$B$2:'Inputs'!$L$9,6,FALSE),HLOOKUP(Results!$B$2,Inputs!$B$2:'Inputs'!$L$9,5,FALSE),PV(HLOOKUP(Results!$B$2,Inputs!$B$2:'Inputs'!$L$9,6,FALSE),10,Inputs!$B$22)))/(1-Inputs!$B$23)</f>
        <v>8.1594060666029318</v>
      </c>
      <c r="H8" s="20">
        <f>((HLOOKUP(Results!$B$2,Inputs!$B$2:$L$11,10,FALSE)/($F8*8760)+H$1/1000)*HLOOKUP(Results!$B$2,Inputs!$B$2:'Inputs'!$L$9,4,FALSE) - PMT(HLOOKUP(Results!$B$2,Inputs!$B$2:'Inputs'!$L$9,6,FALSE),HLOOKUP(Results!$B$2,Inputs!$B$2:'Inputs'!$L$9,5,FALSE),PV(HLOOKUP(Results!$B$2,Inputs!$B$2:'Inputs'!$L$9,6,FALSE),10,Inputs!$B$22)))/(1-Inputs!$B$23)</f>
        <v>7.65940606660293</v>
      </c>
      <c r="I8" s="20">
        <f>((HLOOKUP(Results!$B$2,Inputs!$B$2:$L$11,10,FALSE)/($F8*8760)+I$1/1000)*HLOOKUP(Results!$B$2,Inputs!$B$2:'Inputs'!$L$9,4,FALSE) - PMT(HLOOKUP(Results!$B$2,Inputs!$B$2:'Inputs'!$L$9,6,FALSE),HLOOKUP(Results!$B$2,Inputs!$B$2:'Inputs'!$L$9,5,FALSE),PV(HLOOKUP(Results!$B$2,Inputs!$B$2:'Inputs'!$L$9,6,FALSE),10,Inputs!$B$22)))/(1-Inputs!$B$23)</f>
        <v>7.1594060666029318</v>
      </c>
      <c r="J8" s="20">
        <f>((HLOOKUP(Results!$B$2,Inputs!$B$2:$L$11,10,FALSE)/($F8*8760)+J$1/1000)*HLOOKUP(Results!$B$2,Inputs!$B$2:'Inputs'!$L$9,4,FALSE) - PMT(HLOOKUP(Results!$B$2,Inputs!$B$2:'Inputs'!$L$9,6,FALSE),HLOOKUP(Results!$B$2,Inputs!$B$2:'Inputs'!$L$9,5,FALSE),PV(HLOOKUP(Results!$B$2,Inputs!$B$2:'Inputs'!$L$9,6,FALSE),10,Inputs!$B$22)))/(1-Inputs!$B$23)</f>
        <v>6.6594060666029318</v>
      </c>
      <c r="K8" s="20">
        <f>((HLOOKUP(Results!$B$2,Inputs!$B$2:$L$11,10,FALSE)/($F8*8760)+K$1/1000)*HLOOKUP(Results!$B$2,Inputs!$B$2:'Inputs'!$L$9,4,FALSE) - PMT(HLOOKUP(Results!$B$2,Inputs!$B$2:'Inputs'!$L$9,6,FALSE),HLOOKUP(Results!$B$2,Inputs!$B$2:'Inputs'!$L$9,5,FALSE),PV(HLOOKUP(Results!$B$2,Inputs!$B$2:'Inputs'!$L$9,6,FALSE),10,Inputs!$B$22)))/(1-Inputs!$B$23)</f>
        <v>6.15940606660293</v>
      </c>
      <c r="L8" s="20">
        <f>((HLOOKUP(Results!$B$2,Inputs!$B$2:$L$11,10,FALSE)/($F8*8760)+L$1/1000)*HLOOKUP(Results!$B$2,Inputs!$B$2:'Inputs'!$L$9,4,FALSE) - PMT(HLOOKUP(Results!$B$2,Inputs!$B$2:'Inputs'!$L$9,6,FALSE),HLOOKUP(Results!$B$2,Inputs!$B$2:'Inputs'!$L$9,5,FALSE),PV(HLOOKUP(Results!$B$2,Inputs!$B$2:'Inputs'!$L$9,6,FALSE),10,Inputs!$B$22)))/(1-Inputs!$B$23)</f>
        <v>5.6594060666029318</v>
      </c>
      <c r="M8" s="20">
        <f>((HLOOKUP(Results!$B$2,Inputs!$B$2:$L$11,10,FALSE)/($F8*8760)+M$1/1000)*HLOOKUP(Results!$B$2,Inputs!$B$2:'Inputs'!$L$9,4,FALSE) - PMT(HLOOKUP(Results!$B$2,Inputs!$B$2:'Inputs'!$L$9,6,FALSE),HLOOKUP(Results!$B$2,Inputs!$B$2:'Inputs'!$L$9,5,FALSE),PV(HLOOKUP(Results!$B$2,Inputs!$B$2:'Inputs'!$L$9,6,FALSE),10,Inputs!$B$22)))/(1-Inputs!$B$23)</f>
        <v>5.1594060666029318</v>
      </c>
    </row>
    <row r="9" spans="1:45" x14ac:dyDescent="0.35">
      <c r="A9" t="s">
        <v>20</v>
      </c>
      <c r="F9">
        <v>0.16</v>
      </c>
      <c r="G9" s="20">
        <f>((HLOOKUP(Results!$B$2,Inputs!$B$2:$L$11,10,FALSE)/($F9*8760)+G$1/1000)*HLOOKUP(Results!$B$2,Inputs!$B$2:'Inputs'!$L$9,4,FALSE) - PMT(HLOOKUP(Results!$B$2,Inputs!$B$2:'Inputs'!$L$9,6,FALSE),HLOOKUP(Results!$B$2,Inputs!$B$2:'Inputs'!$L$9,5,FALSE),PV(HLOOKUP(Results!$B$2,Inputs!$B$2:'Inputs'!$L$9,6,FALSE),10,Inputs!$B$22)))/(1-Inputs!$B$23)</f>
        <v>7.1394803082775642</v>
      </c>
      <c r="H9" s="20">
        <f>((HLOOKUP(Results!$B$2,Inputs!$B$2:$L$11,10,FALSE)/($F9*8760)+H$1/1000)*HLOOKUP(Results!$B$2,Inputs!$B$2:'Inputs'!$L$9,4,FALSE) - PMT(HLOOKUP(Results!$B$2,Inputs!$B$2:'Inputs'!$L$9,6,FALSE),HLOOKUP(Results!$B$2,Inputs!$B$2:'Inputs'!$L$9,5,FALSE),PV(HLOOKUP(Results!$B$2,Inputs!$B$2:'Inputs'!$L$9,6,FALSE),10,Inputs!$B$22)))/(1-Inputs!$B$23)</f>
        <v>6.6394803082775642</v>
      </c>
      <c r="I9" s="20">
        <f>((HLOOKUP(Results!$B$2,Inputs!$B$2:$L$11,10,FALSE)/($F9*8760)+I$1/1000)*HLOOKUP(Results!$B$2,Inputs!$B$2:'Inputs'!$L$9,4,FALSE) - PMT(HLOOKUP(Results!$B$2,Inputs!$B$2:'Inputs'!$L$9,6,FALSE),HLOOKUP(Results!$B$2,Inputs!$B$2:'Inputs'!$L$9,5,FALSE),PV(HLOOKUP(Results!$B$2,Inputs!$B$2:'Inputs'!$L$9,6,FALSE),10,Inputs!$B$22)))/(1-Inputs!$B$23)</f>
        <v>6.1394803082775642</v>
      </c>
      <c r="J9" s="20">
        <f>((HLOOKUP(Results!$B$2,Inputs!$B$2:$L$11,10,FALSE)/($F9*8760)+J$1/1000)*HLOOKUP(Results!$B$2,Inputs!$B$2:'Inputs'!$L$9,4,FALSE) - PMT(HLOOKUP(Results!$B$2,Inputs!$B$2:'Inputs'!$L$9,6,FALSE),HLOOKUP(Results!$B$2,Inputs!$B$2:'Inputs'!$L$9,5,FALSE),PV(HLOOKUP(Results!$B$2,Inputs!$B$2:'Inputs'!$L$9,6,FALSE),10,Inputs!$B$22)))/(1-Inputs!$B$23)</f>
        <v>5.6394803082775642</v>
      </c>
      <c r="K9" s="20">
        <f>((HLOOKUP(Results!$B$2,Inputs!$B$2:$L$11,10,FALSE)/($F9*8760)+K$1/1000)*HLOOKUP(Results!$B$2,Inputs!$B$2:'Inputs'!$L$9,4,FALSE) - PMT(HLOOKUP(Results!$B$2,Inputs!$B$2:'Inputs'!$L$9,6,FALSE),HLOOKUP(Results!$B$2,Inputs!$B$2:'Inputs'!$L$9,5,FALSE),PV(HLOOKUP(Results!$B$2,Inputs!$B$2:'Inputs'!$L$9,6,FALSE),10,Inputs!$B$22)))/(1-Inputs!$B$23)</f>
        <v>5.1394803082775642</v>
      </c>
      <c r="L9" s="20">
        <f>((HLOOKUP(Results!$B$2,Inputs!$B$2:$L$11,10,FALSE)/($F9*8760)+L$1/1000)*HLOOKUP(Results!$B$2,Inputs!$B$2:'Inputs'!$L$9,4,FALSE) - PMT(HLOOKUP(Results!$B$2,Inputs!$B$2:'Inputs'!$L$9,6,FALSE),HLOOKUP(Results!$B$2,Inputs!$B$2:'Inputs'!$L$9,5,FALSE),PV(HLOOKUP(Results!$B$2,Inputs!$B$2:'Inputs'!$L$9,6,FALSE),10,Inputs!$B$22)))/(1-Inputs!$B$23)</f>
        <v>4.6394803082775642</v>
      </c>
      <c r="M9" s="20">
        <f>((HLOOKUP(Results!$B$2,Inputs!$B$2:$L$11,10,FALSE)/($F9*8760)+M$1/1000)*HLOOKUP(Results!$B$2,Inputs!$B$2:'Inputs'!$L$9,4,FALSE) - PMT(HLOOKUP(Results!$B$2,Inputs!$B$2:'Inputs'!$L$9,6,FALSE),HLOOKUP(Results!$B$2,Inputs!$B$2:'Inputs'!$L$9,5,FALSE),PV(HLOOKUP(Results!$B$2,Inputs!$B$2:'Inputs'!$L$9,6,FALSE),10,Inputs!$B$22)))/(1-Inputs!$B$23)</f>
        <v>4.1394803082775642</v>
      </c>
    </row>
    <row r="10" spans="1:45" x14ac:dyDescent="0.35">
      <c r="A10" t="s">
        <v>4</v>
      </c>
      <c r="F10">
        <v>0.18</v>
      </c>
      <c r="G10" s="20">
        <f>((HLOOKUP(Results!$B$2,Inputs!$B$2:$L$11,10,FALSE)/($F10*8760)+G$1/1000)*HLOOKUP(Results!$B$2,Inputs!$B$2:'Inputs'!$L$9,4,FALSE) - PMT(HLOOKUP(Results!$B$2,Inputs!$B$2:'Inputs'!$L$9,6,FALSE),HLOOKUP(Results!$B$2,Inputs!$B$2:'Inputs'!$L$9,5,FALSE),PV(HLOOKUP(Results!$B$2,Inputs!$B$2:'Inputs'!$L$9,6,FALSE),10,Inputs!$B$22)))/(1-Inputs!$B$23)</f>
        <v>6.3462047184689467</v>
      </c>
      <c r="H10" s="20">
        <f>((HLOOKUP(Results!$B$2,Inputs!$B$2:$L$11,10,FALSE)/($F10*8760)+H$1/1000)*HLOOKUP(Results!$B$2,Inputs!$B$2:'Inputs'!$L$9,4,FALSE) - PMT(HLOOKUP(Results!$B$2,Inputs!$B$2:'Inputs'!$L$9,6,FALSE),HLOOKUP(Results!$B$2,Inputs!$B$2:'Inputs'!$L$9,5,FALSE),PV(HLOOKUP(Results!$B$2,Inputs!$B$2:'Inputs'!$L$9,6,FALSE),10,Inputs!$B$22)))/(1-Inputs!$B$23)</f>
        <v>5.8462047184689467</v>
      </c>
      <c r="I10" s="20">
        <f>((HLOOKUP(Results!$B$2,Inputs!$B$2:$L$11,10,FALSE)/($F10*8760)+I$1/1000)*HLOOKUP(Results!$B$2,Inputs!$B$2:'Inputs'!$L$9,4,FALSE) - PMT(HLOOKUP(Results!$B$2,Inputs!$B$2:'Inputs'!$L$9,6,FALSE),HLOOKUP(Results!$B$2,Inputs!$B$2:'Inputs'!$L$9,5,FALSE),PV(HLOOKUP(Results!$B$2,Inputs!$B$2:'Inputs'!$L$9,6,FALSE),10,Inputs!$B$22)))/(1-Inputs!$B$23)</f>
        <v>5.3462047184689467</v>
      </c>
      <c r="J10" s="20">
        <f>((HLOOKUP(Results!$B$2,Inputs!$B$2:$L$11,10,FALSE)/($F10*8760)+J$1/1000)*HLOOKUP(Results!$B$2,Inputs!$B$2:'Inputs'!$L$9,4,FALSE) - PMT(HLOOKUP(Results!$B$2,Inputs!$B$2:'Inputs'!$L$9,6,FALSE),HLOOKUP(Results!$B$2,Inputs!$B$2:'Inputs'!$L$9,5,FALSE),PV(HLOOKUP(Results!$B$2,Inputs!$B$2:'Inputs'!$L$9,6,FALSE),10,Inputs!$B$22)))/(1-Inputs!$B$23)</f>
        <v>4.8462047184689467</v>
      </c>
      <c r="K10" s="20">
        <f>((HLOOKUP(Results!$B$2,Inputs!$B$2:$L$11,10,FALSE)/($F10*8760)+K$1/1000)*HLOOKUP(Results!$B$2,Inputs!$B$2:'Inputs'!$L$9,4,FALSE) - PMT(HLOOKUP(Results!$B$2,Inputs!$B$2:'Inputs'!$L$9,6,FALSE),HLOOKUP(Results!$B$2,Inputs!$B$2:'Inputs'!$L$9,5,FALSE),PV(HLOOKUP(Results!$B$2,Inputs!$B$2:'Inputs'!$L$9,6,FALSE),10,Inputs!$B$22)))/(1-Inputs!$B$23)</f>
        <v>4.346204718468945</v>
      </c>
      <c r="L10" s="20">
        <f>((HLOOKUP(Results!$B$2,Inputs!$B$2:$L$11,10,FALSE)/($F10*8760)+L$1/1000)*HLOOKUP(Results!$B$2,Inputs!$B$2:'Inputs'!$L$9,4,FALSE) - PMT(HLOOKUP(Results!$B$2,Inputs!$B$2:'Inputs'!$L$9,6,FALSE),HLOOKUP(Results!$B$2,Inputs!$B$2:'Inputs'!$L$9,5,FALSE),PV(HLOOKUP(Results!$B$2,Inputs!$B$2:'Inputs'!$L$9,6,FALSE),10,Inputs!$B$22)))/(1-Inputs!$B$23)</f>
        <v>3.8462047184689463</v>
      </c>
      <c r="M10" s="20">
        <f>((HLOOKUP(Results!$B$2,Inputs!$B$2:$L$11,10,FALSE)/($F10*8760)+M$1/1000)*HLOOKUP(Results!$B$2,Inputs!$B$2:'Inputs'!$L$9,4,FALSE) - PMT(HLOOKUP(Results!$B$2,Inputs!$B$2:'Inputs'!$L$9,6,FALSE),HLOOKUP(Results!$B$2,Inputs!$B$2:'Inputs'!$L$9,5,FALSE),PV(HLOOKUP(Results!$B$2,Inputs!$B$2:'Inputs'!$L$9,6,FALSE),10,Inputs!$B$22)))/(1-Inputs!$B$23)</f>
        <v>3.3462047184689463</v>
      </c>
    </row>
    <row r="11" spans="1:45" x14ac:dyDescent="0.35">
      <c r="A11" t="s">
        <v>78</v>
      </c>
      <c r="F11">
        <v>0.2</v>
      </c>
      <c r="G11" s="20">
        <f>((HLOOKUP(Results!$B$2,Inputs!$B$2:$L$11,10,FALSE)/($F11*8760)+G$1/1000)*HLOOKUP(Results!$B$2,Inputs!$B$2:'Inputs'!$L$9,4,FALSE) - PMT(HLOOKUP(Results!$B$2,Inputs!$B$2:'Inputs'!$L$9,6,FALSE),HLOOKUP(Results!$B$2,Inputs!$B$2:'Inputs'!$L$9,5,FALSE),PV(HLOOKUP(Results!$B$2,Inputs!$B$2:'Inputs'!$L$9,6,FALSE),10,Inputs!$B$22)))/(1-Inputs!$B$23)</f>
        <v>5.7115842466220528</v>
      </c>
      <c r="H11" s="20">
        <f>((HLOOKUP(Results!$B$2,Inputs!$B$2:$L$11,10,FALSE)/($F11*8760)+H$1/1000)*HLOOKUP(Results!$B$2,Inputs!$B$2:'Inputs'!$L$9,4,FALSE) - PMT(HLOOKUP(Results!$B$2,Inputs!$B$2:'Inputs'!$L$9,6,FALSE),HLOOKUP(Results!$B$2,Inputs!$B$2:'Inputs'!$L$9,5,FALSE),PV(HLOOKUP(Results!$B$2,Inputs!$B$2:'Inputs'!$L$9,6,FALSE),10,Inputs!$B$22)))/(1-Inputs!$B$23)</f>
        <v>5.2115842466220528</v>
      </c>
      <c r="I11" s="20">
        <f>((HLOOKUP(Results!$B$2,Inputs!$B$2:$L$11,10,FALSE)/($F11*8760)+I$1/1000)*HLOOKUP(Results!$B$2,Inputs!$B$2:'Inputs'!$L$9,4,FALSE) - PMT(HLOOKUP(Results!$B$2,Inputs!$B$2:'Inputs'!$L$9,6,FALSE),HLOOKUP(Results!$B$2,Inputs!$B$2:'Inputs'!$L$9,5,FALSE),PV(HLOOKUP(Results!$B$2,Inputs!$B$2:'Inputs'!$L$9,6,FALSE),10,Inputs!$B$22)))/(1-Inputs!$B$23)</f>
        <v>4.7115842466220528</v>
      </c>
      <c r="J11" s="20">
        <f>((HLOOKUP(Results!$B$2,Inputs!$B$2:$L$11,10,FALSE)/($F11*8760)+J$1/1000)*HLOOKUP(Results!$B$2,Inputs!$B$2:'Inputs'!$L$9,4,FALSE) - PMT(HLOOKUP(Results!$B$2,Inputs!$B$2:'Inputs'!$L$9,6,FALSE),HLOOKUP(Results!$B$2,Inputs!$B$2:'Inputs'!$L$9,5,FALSE),PV(HLOOKUP(Results!$B$2,Inputs!$B$2:'Inputs'!$L$9,6,FALSE),10,Inputs!$B$22)))/(1-Inputs!$B$23)</f>
        <v>4.211584246622051</v>
      </c>
      <c r="K11" s="20">
        <f>((HLOOKUP(Results!$B$2,Inputs!$B$2:$L$11,10,FALSE)/($F11*8760)+K$1/1000)*HLOOKUP(Results!$B$2,Inputs!$B$2:'Inputs'!$L$9,4,FALSE) - PMT(HLOOKUP(Results!$B$2,Inputs!$B$2:'Inputs'!$L$9,6,FALSE),HLOOKUP(Results!$B$2,Inputs!$B$2:'Inputs'!$L$9,5,FALSE),PV(HLOOKUP(Results!$B$2,Inputs!$B$2:'Inputs'!$L$9,6,FALSE),10,Inputs!$B$22)))/(1-Inputs!$B$23)</f>
        <v>3.7115842466220514</v>
      </c>
      <c r="L11" s="20">
        <f>((HLOOKUP(Results!$B$2,Inputs!$B$2:$L$11,10,FALSE)/($F11*8760)+L$1/1000)*HLOOKUP(Results!$B$2,Inputs!$B$2:'Inputs'!$L$9,4,FALSE) - PMT(HLOOKUP(Results!$B$2,Inputs!$B$2:'Inputs'!$L$9,6,FALSE),HLOOKUP(Results!$B$2,Inputs!$B$2:'Inputs'!$L$9,5,FALSE),PV(HLOOKUP(Results!$B$2,Inputs!$B$2:'Inputs'!$L$9,6,FALSE),10,Inputs!$B$22)))/(1-Inputs!$B$23)</f>
        <v>3.2115842466220514</v>
      </c>
      <c r="M11" s="20">
        <f>((HLOOKUP(Results!$B$2,Inputs!$B$2:$L$11,10,FALSE)/($F11*8760)+M$1/1000)*HLOOKUP(Results!$B$2,Inputs!$B$2:'Inputs'!$L$9,4,FALSE) - PMT(HLOOKUP(Results!$B$2,Inputs!$B$2:'Inputs'!$L$9,6,FALSE),HLOOKUP(Results!$B$2,Inputs!$B$2:'Inputs'!$L$9,5,FALSE),PV(HLOOKUP(Results!$B$2,Inputs!$B$2:'Inputs'!$L$9,6,FALSE),10,Inputs!$B$22)))/(1-Inputs!$B$23)</f>
        <v>2.7115842466220514</v>
      </c>
    </row>
    <row r="12" spans="1:45" x14ac:dyDescent="0.35">
      <c r="A12" t="s">
        <v>83</v>
      </c>
      <c r="F12">
        <v>0.22</v>
      </c>
      <c r="G12" s="20">
        <f>((HLOOKUP(Results!$B$2,Inputs!$B$2:$L$11,10,FALSE)/($F12*8760)+G$1/1000)*HLOOKUP(Results!$B$2,Inputs!$B$2:'Inputs'!$L$9,4,FALSE) - PMT(HLOOKUP(Results!$B$2,Inputs!$B$2:'Inputs'!$L$9,6,FALSE),HLOOKUP(Results!$B$2,Inputs!$B$2:'Inputs'!$L$9,5,FALSE),PV(HLOOKUP(Results!$B$2,Inputs!$B$2:'Inputs'!$L$9,6,FALSE),10,Inputs!$B$22)))/(1-Inputs!$B$23)</f>
        <v>5.1923493151109561</v>
      </c>
      <c r="H12" s="20">
        <f>((HLOOKUP(Results!$B$2,Inputs!$B$2:$L$11,10,FALSE)/($F12*8760)+H$1/1000)*HLOOKUP(Results!$B$2,Inputs!$B$2:'Inputs'!$L$9,4,FALSE) - PMT(HLOOKUP(Results!$B$2,Inputs!$B$2:'Inputs'!$L$9,6,FALSE),HLOOKUP(Results!$B$2,Inputs!$B$2:'Inputs'!$L$9,5,FALSE),PV(HLOOKUP(Results!$B$2,Inputs!$B$2:'Inputs'!$L$9,6,FALSE),10,Inputs!$B$22)))/(1-Inputs!$B$23)</f>
        <v>4.6923493151109561</v>
      </c>
      <c r="I12" s="20">
        <f>((HLOOKUP(Results!$B$2,Inputs!$B$2:$L$11,10,FALSE)/($F12*8760)+I$1/1000)*HLOOKUP(Results!$B$2,Inputs!$B$2:'Inputs'!$L$9,4,FALSE) - PMT(HLOOKUP(Results!$B$2,Inputs!$B$2:'Inputs'!$L$9,6,FALSE),HLOOKUP(Results!$B$2,Inputs!$B$2:'Inputs'!$L$9,5,FALSE),PV(HLOOKUP(Results!$B$2,Inputs!$B$2:'Inputs'!$L$9,6,FALSE),10,Inputs!$B$22)))/(1-Inputs!$B$23)</f>
        <v>4.1923493151109561</v>
      </c>
      <c r="J12" s="20">
        <f>((HLOOKUP(Results!$B$2,Inputs!$B$2:$L$11,10,FALSE)/($F12*8760)+J$1/1000)*HLOOKUP(Results!$B$2,Inputs!$B$2:'Inputs'!$L$9,4,FALSE) - PMT(HLOOKUP(Results!$B$2,Inputs!$B$2:'Inputs'!$L$9,6,FALSE),HLOOKUP(Results!$B$2,Inputs!$B$2:'Inputs'!$L$9,5,FALSE),PV(HLOOKUP(Results!$B$2,Inputs!$B$2:'Inputs'!$L$9,6,FALSE),10,Inputs!$B$22)))/(1-Inputs!$B$23)</f>
        <v>3.6923493151109565</v>
      </c>
      <c r="K12" s="20">
        <f>((HLOOKUP(Results!$B$2,Inputs!$B$2:$L$11,10,FALSE)/($F12*8760)+K$1/1000)*HLOOKUP(Results!$B$2,Inputs!$B$2:'Inputs'!$L$9,4,FALSE) - PMT(HLOOKUP(Results!$B$2,Inputs!$B$2:'Inputs'!$L$9,6,FALSE),HLOOKUP(Results!$B$2,Inputs!$B$2:'Inputs'!$L$9,5,FALSE),PV(HLOOKUP(Results!$B$2,Inputs!$B$2:'Inputs'!$L$9,6,FALSE),10,Inputs!$B$22)))/(1-Inputs!$B$23)</f>
        <v>3.1923493151109557</v>
      </c>
      <c r="L12" s="20">
        <f>((HLOOKUP(Results!$B$2,Inputs!$B$2:$L$11,10,FALSE)/($F12*8760)+L$1/1000)*HLOOKUP(Results!$B$2,Inputs!$B$2:'Inputs'!$L$9,4,FALSE) - PMT(HLOOKUP(Results!$B$2,Inputs!$B$2:'Inputs'!$L$9,6,FALSE),HLOOKUP(Results!$B$2,Inputs!$B$2:'Inputs'!$L$9,5,FALSE),PV(HLOOKUP(Results!$B$2,Inputs!$B$2:'Inputs'!$L$9,6,FALSE),10,Inputs!$B$22)))/(1-Inputs!$B$23)</f>
        <v>2.6923493151109557</v>
      </c>
      <c r="M12" s="20">
        <f>((HLOOKUP(Results!$B$2,Inputs!$B$2:$L$11,10,FALSE)/($F12*8760)+M$1/1000)*HLOOKUP(Results!$B$2,Inputs!$B$2:'Inputs'!$L$9,4,FALSE) - PMT(HLOOKUP(Results!$B$2,Inputs!$B$2:'Inputs'!$L$9,6,FALSE),HLOOKUP(Results!$B$2,Inputs!$B$2:'Inputs'!$L$9,5,FALSE),PV(HLOOKUP(Results!$B$2,Inputs!$B$2:'Inputs'!$L$9,6,FALSE),10,Inputs!$B$22)))/(1-Inputs!$B$23)</f>
        <v>2.1923493151109557</v>
      </c>
    </row>
    <row r="13" spans="1:45" x14ac:dyDescent="0.35">
      <c r="F13">
        <v>0.24</v>
      </c>
      <c r="G13" s="20">
        <f>((HLOOKUP(Results!$B$2,Inputs!$B$2:$L$11,10,FALSE)/($F13*8760)+G$1/1000)*HLOOKUP(Results!$B$2,Inputs!$B$2:'Inputs'!$L$9,4,FALSE) - PMT(HLOOKUP(Results!$B$2,Inputs!$B$2:'Inputs'!$L$9,6,FALSE),HLOOKUP(Results!$B$2,Inputs!$B$2:'Inputs'!$L$9,5,FALSE),PV(HLOOKUP(Results!$B$2,Inputs!$B$2:'Inputs'!$L$9,6,FALSE),10,Inputs!$B$22)))/(1-Inputs!$B$23)</f>
        <v>4.7596535388517101</v>
      </c>
      <c r="H13" s="20">
        <f>((HLOOKUP(Results!$B$2,Inputs!$B$2:$L$11,10,FALSE)/($F13*8760)+H$1/1000)*HLOOKUP(Results!$B$2,Inputs!$B$2:'Inputs'!$L$9,4,FALSE) - PMT(HLOOKUP(Results!$B$2,Inputs!$B$2:'Inputs'!$L$9,6,FALSE),HLOOKUP(Results!$B$2,Inputs!$B$2:'Inputs'!$L$9,5,FALSE),PV(HLOOKUP(Results!$B$2,Inputs!$B$2:'Inputs'!$L$9,6,FALSE),10,Inputs!$B$22)))/(1-Inputs!$B$23)</f>
        <v>4.2596535388517101</v>
      </c>
      <c r="I13" s="20">
        <f>((HLOOKUP(Results!$B$2,Inputs!$B$2:$L$11,10,FALSE)/($F13*8760)+I$1/1000)*HLOOKUP(Results!$B$2,Inputs!$B$2:'Inputs'!$L$9,4,FALSE) - PMT(HLOOKUP(Results!$B$2,Inputs!$B$2:'Inputs'!$L$9,6,FALSE),HLOOKUP(Results!$B$2,Inputs!$B$2:'Inputs'!$L$9,5,FALSE),PV(HLOOKUP(Results!$B$2,Inputs!$B$2:'Inputs'!$L$9,6,FALSE),10,Inputs!$B$22)))/(1-Inputs!$B$23)</f>
        <v>3.7596535388517087</v>
      </c>
      <c r="J13" s="20">
        <f>((HLOOKUP(Results!$B$2,Inputs!$B$2:$L$11,10,FALSE)/($F13*8760)+J$1/1000)*HLOOKUP(Results!$B$2,Inputs!$B$2:'Inputs'!$L$9,4,FALSE) - PMT(HLOOKUP(Results!$B$2,Inputs!$B$2:'Inputs'!$L$9,6,FALSE),HLOOKUP(Results!$B$2,Inputs!$B$2:'Inputs'!$L$9,5,FALSE),PV(HLOOKUP(Results!$B$2,Inputs!$B$2:'Inputs'!$L$9,6,FALSE),10,Inputs!$B$22)))/(1-Inputs!$B$23)</f>
        <v>3.2596535388517087</v>
      </c>
      <c r="K13" s="20">
        <f>((HLOOKUP(Results!$B$2,Inputs!$B$2:$L$11,10,FALSE)/($F13*8760)+K$1/1000)*HLOOKUP(Results!$B$2,Inputs!$B$2:'Inputs'!$L$9,4,FALSE) - PMT(HLOOKUP(Results!$B$2,Inputs!$B$2:'Inputs'!$L$9,6,FALSE),HLOOKUP(Results!$B$2,Inputs!$B$2:'Inputs'!$L$9,5,FALSE),PV(HLOOKUP(Results!$B$2,Inputs!$B$2:'Inputs'!$L$9,6,FALSE),10,Inputs!$B$22)))/(1-Inputs!$B$23)</f>
        <v>2.7596535388517096</v>
      </c>
      <c r="L13" s="20">
        <f>((HLOOKUP(Results!$B$2,Inputs!$B$2:$L$11,10,FALSE)/($F13*8760)+L$1/1000)*HLOOKUP(Results!$B$2,Inputs!$B$2:'Inputs'!$L$9,4,FALSE) - PMT(HLOOKUP(Results!$B$2,Inputs!$B$2:'Inputs'!$L$9,6,FALSE),HLOOKUP(Results!$B$2,Inputs!$B$2:'Inputs'!$L$9,5,FALSE),PV(HLOOKUP(Results!$B$2,Inputs!$B$2:'Inputs'!$L$9,6,FALSE),10,Inputs!$B$22)))/(1-Inputs!$B$23)</f>
        <v>2.2596535388517087</v>
      </c>
      <c r="M13" s="20">
        <f>((HLOOKUP(Results!$B$2,Inputs!$B$2:$L$11,10,FALSE)/($F13*8760)+M$1/1000)*HLOOKUP(Results!$B$2,Inputs!$B$2:'Inputs'!$L$9,4,FALSE) - PMT(HLOOKUP(Results!$B$2,Inputs!$B$2:'Inputs'!$L$9,6,FALSE),HLOOKUP(Results!$B$2,Inputs!$B$2:'Inputs'!$L$9,5,FALSE),PV(HLOOKUP(Results!$B$2,Inputs!$B$2:'Inputs'!$L$9,6,FALSE),10,Inputs!$B$22)))/(1-Inputs!$B$23)</f>
        <v>1.7596535388517087</v>
      </c>
    </row>
    <row r="14" spans="1:45" x14ac:dyDescent="0.35">
      <c r="F14">
        <v>0.26</v>
      </c>
      <c r="G14" s="20">
        <f>((HLOOKUP(Results!$B$2,Inputs!$B$2:$L$11,10,FALSE)/($F14*8760)+G$1/1000)*HLOOKUP(Results!$B$2,Inputs!$B$2:'Inputs'!$L$9,4,FALSE) - PMT(HLOOKUP(Results!$B$2,Inputs!$B$2:'Inputs'!$L$9,6,FALSE),HLOOKUP(Results!$B$2,Inputs!$B$2:'Inputs'!$L$9,5,FALSE),PV(HLOOKUP(Results!$B$2,Inputs!$B$2:'Inputs'!$L$9,6,FALSE),10,Inputs!$B$22)))/(1-Inputs!$B$23)</f>
        <v>4.3935263435554237</v>
      </c>
      <c r="H14" s="20">
        <f>((HLOOKUP(Results!$B$2,Inputs!$B$2:$L$11,10,FALSE)/($F14*8760)+H$1/1000)*HLOOKUP(Results!$B$2,Inputs!$B$2:'Inputs'!$L$9,4,FALSE) - PMT(HLOOKUP(Results!$B$2,Inputs!$B$2:'Inputs'!$L$9,6,FALSE),HLOOKUP(Results!$B$2,Inputs!$B$2:'Inputs'!$L$9,5,FALSE),PV(HLOOKUP(Results!$B$2,Inputs!$B$2:'Inputs'!$L$9,6,FALSE),10,Inputs!$B$22)))/(1-Inputs!$B$23)</f>
        <v>3.893526343555425</v>
      </c>
      <c r="I14" s="20">
        <f>((HLOOKUP(Results!$B$2,Inputs!$B$2:$L$11,10,FALSE)/($F14*8760)+I$1/1000)*HLOOKUP(Results!$B$2,Inputs!$B$2:'Inputs'!$L$9,4,FALSE) - PMT(HLOOKUP(Results!$B$2,Inputs!$B$2:'Inputs'!$L$9,6,FALSE),HLOOKUP(Results!$B$2,Inputs!$B$2:'Inputs'!$L$9,5,FALSE),PV(HLOOKUP(Results!$B$2,Inputs!$B$2:'Inputs'!$L$9,6,FALSE),10,Inputs!$B$22)))/(1-Inputs!$B$23)</f>
        <v>3.393526343555425</v>
      </c>
      <c r="J14" s="20">
        <f>((HLOOKUP(Results!$B$2,Inputs!$B$2:$L$11,10,FALSE)/($F14*8760)+J$1/1000)*HLOOKUP(Results!$B$2,Inputs!$B$2:'Inputs'!$L$9,4,FALSE) - PMT(HLOOKUP(Results!$B$2,Inputs!$B$2:'Inputs'!$L$9,6,FALSE),HLOOKUP(Results!$B$2,Inputs!$B$2:'Inputs'!$L$9,5,FALSE),PV(HLOOKUP(Results!$B$2,Inputs!$B$2:'Inputs'!$L$9,6,FALSE),10,Inputs!$B$22)))/(1-Inputs!$B$23)</f>
        <v>2.8935263435554242</v>
      </c>
      <c r="K14" s="20">
        <f>((HLOOKUP(Results!$B$2,Inputs!$B$2:$L$11,10,FALSE)/($F14*8760)+K$1/1000)*HLOOKUP(Results!$B$2,Inputs!$B$2:'Inputs'!$L$9,4,FALSE) - PMT(HLOOKUP(Results!$B$2,Inputs!$B$2:'Inputs'!$L$9,6,FALSE),HLOOKUP(Results!$B$2,Inputs!$B$2:'Inputs'!$L$9,5,FALSE),PV(HLOOKUP(Results!$B$2,Inputs!$B$2:'Inputs'!$L$9,6,FALSE),10,Inputs!$B$22)))/(1-Inputs!$B$23)</f>
        <v>2.3935263435554242</v>
      </c>
      <c r="L14" s="20">
        <f>((HLOOKUP(Results!$B$2,Inputs!$B$2:$L$11,10,FALSE)/($F14*8760)+L$1/1000)*HLOOKUP(Results!$B$2,Inputs!$B$2:'Inputs'!$L$9,4,FALSE) - PMT(HLOOKUP(Results!$B$2,Inputs!$B$2:'Inputs'!$L$9,6,FALSE),HLOOKUP(Results!$B$2,Inputs!$B$2:'Inputs'!$L$9,5,FALSE),PV(HLOOKUP(Results!$B$2,Inputs!$B$2:'Inputs'!$L$9,6,FALSE),10,Inputs!$B$22)))/(1-Inputs!$B$23)</f>
        <v>1.8935263435554242</v>
      </c>
      <c r="M14" s="20">
        <f>((HLOOKUP(Results!$B$2,Inputs!$B$2:$L$11,10,FALSE)/($F14*8760)+M$1/1000)*HLOOKUP(Results!$B$2,Inputs!$B$2:'Inputs'!$L$9,4,FALSE) - PMT(HLOOKUP(Results!$B$2,Inputs!$B$2:'Inputs'!$L$9,6,FALSE),HLOOKUP(Results!$B$2,Inputs!$B$2:'Inputs'!$L$9,5,FALSE),PV(HLOOKUP(Results!$B$2,Inputs!$B$2:'Inputs'!$L$9,6,FALSE),10,Inputs!$B$22)))/(1-Inputs!$B$23)</f>
        <v>1.3935263435554242</v>
      </c>
    </row>
    <row r="15" spans="1:45" x14ac:dyDescent="0.35">
      <c r="F15">
        <v>0.28000000000000003</v>
      </c>
      <c r="G15" s="20">
        <f>((HLOOKUP(Results!$B$2,Inputs!$B$2:$L$11,10,FALSE)/($F15*8760)+G$1/1000)*HLOOKUP(Results!$B$2,Inputs!$B$2:'Inputs'!$L$9,4,FALSE) - PMT(HLOOKUP(Results!$B$2,Inputs!$B$2:'Inputs'!$L$9,6,FALSE),HLOOKUP(Results!$B$2,Inputs!$B$2:'Inputs'!$L$9,5,FALSE),PV(HLOOKUP(Results!$B$2,Inputs!$B$2:'Inputs'!$L$9,6,FALSE),10,Inputs!$B$22)))/(1-Inputs!$B$23)</f>
        <v>4.079703033301465</v>
      </c>
      <c r="H15" s="20">
        <f>((HLOOKUP(Results!$B$2,Inputs!$B$2:$L$11,10,FALSE)/($F15*8760)+H$1/1000)*HLOOKUP(Results!$B$2,Inputs!$B$2:'Inputs'!$L$9,4,FALSE) - PMT(HLOOKUP(Results!$B$2,Inputs!$B$2:'Inputs'!$L$9,6,FALSE),HLOOKUP(Results!$B$2,Inputs!$B$2:'Inputs'!$L$9,5,FALSE),PV(HLOOKUP(Results!$B$2,Inputs!$B$2:'Inputs'!$L$9,6,FALSE),10,Inputs!$B$22)))/(1-Inputs!$B$23)</f>
        <v>3.5797030333014646</v>
      </c>
      <c r="I15" s="20">
        <f>((HLOOKUP(Results!$B$2,Inputs!$B$2:$L$11,10,FALSE)/($F15*8760)+I$1/1000)*HLOOKUP(Results!$B$2,Inputs!$B$2:'Inputs'!$L$9,4,FALSE) - PMT(HLOOKUP(Results!$B$2,Inputs!$B$2:'Inputs'!$L$9,6,FALSE),HLOOKUP(Results!$B$2,Inputs!$B$2:'Inputs'!$L$9,5,FALSE),PV(HLOOKUP(Results!$B$2,Inputs!$B$2:'Inputs'!$L$9,6,FALSE),10,Inputs!$B$22)))/(1-Inputs!$B$23)</f>
        <v>3.0797030333014654</v>
      </c>
      <c r="J15" s="20">
        <f>((HLOOKUP(Results!$B$2,Inputs!$B$2:$L$11,10,FALSE)/($F15*8760)+J$1/1000)*HLOOKUP(Results!$B$2,Inputs!$B$2:'Inputs'!$L$9,4,FALSE) - PMT(HLOOKUP(Results!$B$2,Inputs!$B$2:'Inputs'!$L$9,6,FALSE),HLOOKUP(Results!$B$2,Inputs!$B$2:'Inputs'!$L$9,5,FALSE),PV(HLOOKUP(Results!$B$2,Inputs!$B$2:'Inputs'!$L$9,6,FALSE),10,Inputs!$B$22)))/(1-Inputs!$B$23)</f>
        <v>2.5797030333014654</v>
      </c>
      <c r="K15" s="20">
        <f>((HLOOKUP(Results!$B$2,Inputs!$B$2:$L$11,10,FALSE)/($F15*8760)+K$1/1000)*HLOOKUP(Results!$B$2,Inputs!$B$2:'Inputs'!$L$9,4,FALSE) - PMT(HLOOKUP(Results!$B$2,Inputs!$B$2:'Inputs'!$L$9,6,FALSE),HLOOKUP(Results!$B$2,Inputs!$B$2:'Inputs'!$L$9,5,FALSE),PV(HLOOKUP(Results!$B$2,Inputs!$B$2:'Inputs'!$L$9,6,FALSE),10,Inputs!$B$22)))/(1-Inputs!$B$23)</f>
        <v>2.0797030333014654</v>
      </c>
      <c r="L15" s="20">
        <f>((HLOOKUP(Results!$B$2,Inputs!$B$2:$L$11,10,FALSE)/($F15*8760)+L$1/1000)*HLOOKUP(Results!$B$2,Inputs!$B$2:'Inputs'!$L$9,4,FALSE) - PMT(HLOOKUP(Results!$B$2,Inputs!$B$2:'Inputs'!$L$9,6,FALSE),HLOOKUP(Results!$B$2,Inputs!$B$2:'Inputs'!$L$9,5,FALSE),PV(HLOOKUP(Results!$B$2,Inputs!$B$2:'Inputs'!$L$9,6,FALSE),10,Inputs!$B$22)))/(1-Inputs!$B$23)</f>
        <v>1.5797030333014646</v>
      </c>
      <c r="M15" s="20">
        <f>((HLOOKUP(Results!$B$2,Inputs!$B$2:$L$11,10,FALSE)/($F15*8760)+M$1/1000)*HLOOKUP(Results!$B$2,Inputs!$B$2:'Inputs'!$L$9,4,FALSE) - PMT(HLOOKUP(Results!$B$2,Inputs!$B$2:'Inputs'!$L$9,6,FALSE),HLOOKUP(Results!$B$2,Inputs!$B$2:'Inputs'!$L$9,5,FALSE),PV(HLOOKUP(Results!$B$2,Inputs!$B$2:'Inputs'!$L$9,6,FALSE),10,Inputs!$B$22)))/(1-Inputs!$B$23)</f>
        <v>1.0797030333014654</v>
      </c>
    </row>
    <row r="16" spans="1:45" x14ac:dyDescent="0.35">
      <c r="F16">
        <v>0.3</v>
      </c>
      <c r="G16" s="20">
        <f>((HLOOKUP(Results!$B$2,Inputs!$B$2:$L$11,10,FALSE)/($F16*8760)+G$1/1000)*HLOOKUP(Results!$B$2,Inputs!$B$2:'Inputs'!$L$9,4,FALSE) - PMT(HLOOKUP(Results!$B$2,Inputs!$B$2:'Inputs'!$L$9,6,FALSE),HLOOKUP(Results!$B$2,Inputs!$B$2:'Inputs'!$L$9,5,FALSE),PV(HLOOKUP(Results!$B$2,Inputs!$B$2:'Inputs'!$L$9,6,FALSE),10,Inputs!$B$22)))/(1-Inputs!$B$23)</f>
        <v>3.8077228310813669</v>
      </c>
      <c r="H16" s="20">
        <f>((HLOOKUP(Results!$B$2,Inputs!$B$2:$L$11,10,FALSE)/($F16*8760)+H$1/1000)*HLOOKUP(Results!$B$2,Inputs!$B$2:'Inputs'!$L$9,4,FALSE) - PMT(HLOOKUP(Results!$B$2,Inputs!$B$2:'Inputs'!$L$9,6,FALSE),HLOOKUP(Results!$B$2,Inputs!$B$2:'Inputs'!$L$9,5,FALSE),PV(HLOOKUP(Results!$B$2,Inputs!$B$2:'Inputs'!$L$9,6,FALSE),10,Inputs!$B$22)))/(1-Inputs!$B$23)</f>
        <v>3.3077228310813678</v>
      </c>
      <c r="I16" s="20">
        <f>((HLOOKUP(Results!$B$2,Inputs!$B$2:$L$11,10,FALSE)/($F16*8760)+I$1/1000)*HLOOKUP(Results!$B$2,Inputs!$B$2:'Inputs'!$L$9,4,FALSE) - PMT(HLOOKUP(Results!$B$2,Inputs!$B$2:'Inputs'!$L$9,6,FALSE),HLOOKUP(Results!$B$2,Inputs!$B$2:'Inputs'!$L$9,5,FALSE),PV(HLOOKUP(Results!$B$2,Inputs!$B$2:'Inputs'!$L$9,6,FALSE),10,Inputs!$B$22)))/(1-Inputs!$B$23)</f>
        <v>2.8077228310813669</v>
      </c>
      <c r="J16" s="20">
        <f>((HLOOKUP(Results!$B$2,Inputs!$B$2:$L$11,10,FALSE)/($F16*8760)+J$1/1000)*HLOOKUP(Results!$B$2,Inputs!$B$2:'Inputs'!$L$9,4,FALSE) - PMT(HLOOKUP(Results!$B$2,Inputs!$B$2:'Inputs'!$L$9,6,FALSE),HLOOKUP(Results!$B$2,Inputs!$B$2:'Inputs'!$L$9,5,FALSE),PV(HLOOKUP(Results!$B$2,Inputs!$B$2:'Inputs'!$L$9,6,FALSE),10,Inputs!$B$22)))/(1-Inputs!$B$23)</f>
        <v>2.3077228310813669</v>
      </c>
      <c r="K16" s="20">
        <f>((HLOOKUP(Results!$B$2,Inputs!$B$2:$L$11,10,FALSE)/($F16*8760)+K$1/1000)*HLOOKUP(Results!$B$2,Inputs!$B$2:'Inputs'!$L$9,4,FALSE) - PMT(HLOOKUP(Results!$B$2,Inputs!$B$2:'Inputs'!$L$9,6,FALSE),HLOOKUP(Results!$B$2,Inputs!$B$2:'Inputs'!$L$9,5,FALSE),PV(HLOOKUP(Results!$B$2,Inputs!$B$2:'Inputs'!$L$9,6,FALSE),10,Inputs!$B$22)))/(1-Inputs!$B$23)</f>
        <v>1.8077228310813678</v>
      </c>
      <c r="L16" s="20">
        <f>((HLOOKUP(Results!$B$2,Inputs!$B$2:$L$11,10,FALSE)/($F16*8760)+L$1/1000)*HLOOKUP(Results!$B$2,Inputs!$B$2:'Inputs'!$L$9,4,FALSE) - PMT(HLOOKUP(Results!$B$2,Inputs!$B$2:'Inputs'!$L$9,6,FALSE),HLOOKUP(Results!$B$2,Inputs!$B$2:'Inputs'!$L$9,5,FALSE),PV(HLOOKUP(Results!$B$2,Inputs!$B$2:'Inputs'!$L$9,6,FALSE),10,Inputs!$B$22)))/(1-Inputs!$B$23)</f>
        <v>1.3077228310813669</v>
      </c>
      <c r="M16" s="20">
        <f>((HLOOKUP(Results!$B$2,Inputs!$B$2:$L$11,10,FALSE)/($F16*8760)+M$1/1000)*HLOOKUP(Results!$B$2,Inputs!$B$2:'Inputs'!$L$9,4,FALSE) - PMT(HLOOKUP(Results!$B$2,Inputs!$B$2:'Inputs'!$L$9,6,FALSE),HLOOKUP(Results!$B$2,Inputs!$B$2:'Inputs'!$L$9,5,FALSE),PV(HLOOKUP(Results!$B$2,Inputs!$B$2:'Inputs'!$L$9,6,FALSE),10,Inputs!$B$22)))/(1-Inputs!$B$23)</f>
        <v>0.80772283108136733</v>
      </c>
    </row>
    <row r="17" spans="6:13" x14ac:dyDescent="0.35">
      <c r="F17">
        <v>0.32</v>
      </c>
      <c r="G17" s="20">
        <f>((HLOOKUP(Results!$B$2,Inputs!$B$2:$L$11,10,FALSE)/($F17*8760)+G$1/1000)*HLOOKUP(Results!$B$2,Inputs!$B$2:'Inputs'!$L$9,4,FALSE) - PMT(HLOOKUP(Results!$B$2,Inputs!$B$2:'Inputs'!$L$9,6,FALSE),HLOOKUP(Results!$B$2,Inputs!$B$2:'Inputs'!$L$9,5,FALSE),PV(HLOOKUP(Results!$B$2,Inputs!$B$2:'Inputs'!$L$9,6,FALSE),10,Inputs!$B$22)))/(1-Inputs!$B$23)</f>
        <v>3.5697401541387808</v>
      </c>
      <c r="H17" s="20">
        <f>((HLOOKUP(Results!$B$2,Inputs!$B$2:$L$11,10,FALSE)/($F17*8760)+H$1/1000)*HLOOKUP(Results!$B$2,Inputs!$B$2:'Inputs'!$L$9,4,FALSE) - PMT(HLOOKUP(Results!$B$2,Inputs!$B$2:'Inputs'!$L$9,6,FALSE),HLOOKUP(Results!$B$2,Inputs!$B$2:'Inputs'!$L$9,5,FALSE),PV(HLOOKUP(Results!$B$2,Inputs!$B$2:'Inputs'!$L$9,6,FALSE),10,Inputs!$B$22)))/(1-Inputs!$B$23)</f>
        <v>3.0697401541387817</v>
      </c>
      <c r="I17" s="20">
        <f>((HLOOKUP(Results!$B$2,Inputs!$B$2:$L$11,10,FALSE)/($F17*8760)+I$1/1000)*HLOOKUP(Results!$B$2,Inputs!$B$2:'Inputs'!$L$9,4,FALSE) - PMT(HLOOKUP(Results!$B$2,Inputs!$B$2:'Inputs'!$L$9,6,FALSE),HLOOKUP(Results!$B$2,Inputs!$B$2:'Inputs'!$L$9,5,FALSE),PV(HLOOKUP(Results!$B$2,Inputs!$B$2:'Inputs'!$L$9,6,FALSE),10,Inputs!$B$22)))/(1-Inputs!$B$23)</f>
        <v>2.5697401541387817</v>
      </c>
      <c r="J17" s="20">
        <f>((HLOOKUP(Results!$B$2,Inputs!$B$2:$L$11,10,FALSE)/($F17*8760)+J$1/1000)*HLOOKUP(Results!$B$2,Inputs!$B$2:'Inputs'!$L$9,4,FALSE) - PMT(HLOOKUP(Results!$B$2,Inputs!$B$2:'Inputs'!$L$9,6,FALSE),HLOOKUP(Results!$B$2,Inputs!$B$2:'Inputs'!$L$9,5,FALSE),PV(HLOOKUP(Results!$B$2,Inputs!$B$2:'Inputs'!$L$9,6,FALSE),10,Inputs!$B$22)))/(1-Inputs!$B$23)</f>
        <v>2.0697401541387817</v>
      </c>
      <c r="K17" s="20">
        <f>((HLOOKUP(Results!$B$2,Inputs!$B$2:$L$11,10,FALSE)/($F17*8760)+K$1/1000)*HLOOKUP(Results!$B$2,Inputs!$B$2:'Inputs'!$L$9,4,FALSE) - PMT(HLOOKUP(Results!$B$2,Inputs!$B$2:'Inputs'!$L$9,6,FALSE),HLOOKUP(Results!$B$2,Inputs!$B$2:'Inputs'!$L$9,5,FALSE),PV(HLOOKUP(Results!$B$2,Inputs!$B$2:'Inputs'!$L$9,6,FALSE),10,Inputs!$B$22)))/(1-Inputs!$B$23)</f>
        <v>1.5697401541387817</v>
      </c>
      <c r="L17" s="20">
        <f>((HLOOKUP(Results!$B$2,Inputs!$B$2:$L$11,10,FALSE)/($F17*8760)+L$1/1000)*HLOOKUP(Results!$B$2,Inputs!$B$2:'Inputs'!$L$9,4,FALSE) - PMT(HLOOKUP(Results!$B$2,Inputs!$B$2:'Inputs'!$L$9,6,FALSE),HLOOKUP(Results!$B$2,Inputs!$B$2:'Inputs'!$L$9,5,FALSE),PV(HLOOKUP(Results!$B$2,Inputs!$B$2:'Inputs'!$L$9,6,FALSE),10,Inputs!$B$22)))/(1-Inputs!$B$23)</f>
        <v>1.0697401541387817</v>
      </c>
      <c r="M17" s="20">
        <f>((HLOOKUP(Results!$B$2,Inputs!$B$2:$L$11,10,FALSE)/($F17*8760)+M$1/1000)*HLOOKUP(Results!$B$2,Inputs!$B$2:'Inputs'!$L$9,4,FALSE) - PMT(HLOOKUP(Results!$B$2,Inputs!$B$2:'Inputs'!$L$9,6,FALSE),HLOOKUP(Results!$B$2,Inputs!$B$2:'Inputs'!$L$9,5,FALSE),PV(HLOOKUP(Results!$B$2,Inputs!$B$2:'Inputs'!$L$9,6,FALSE),10,Inputs!$B$22)))/(1-Inputs!$B$23)</f>
        <v>0.56974015413878165</v>
      </c>
    </row>
    <row r="18" spans="6:13" x14ac:dyDescent="0.35">
      <c r="F18">
        <v>0.34</v>
      </c>
      <c r="G18" s="20">
        <f>((HLOOKUP(Results!$B$2,Inputs!$B$2:$L$11,10,FALSE)/($F18*8760)+G$1/1000)*HLOOKUP(Results!$B$2,Inputs!$B$2:'Inputs'!$L$9,4,FALSE) - PMT(HLOOKUP(Results!$B$2,Inputs!$B$2:'Inputs'!$L$9,6,FALSE),HLOOKUP(Results!$B$2,Inputs!$B$2:'Inputs'!$L$9,5,FALSE),PV(HLOOKUP(Results!$B$2,Inputs!$B$2:'Inputs'!$L$9,6,FALSE),10,Inputs!$B$22)))/(1-Inputs!$B$23)</f>
        <v>3.3597554391894415</v>
      </c>
      <c r="H18" s="20">
        <f>((HLOOKUP(Results!$B$2,Inputs!$B$2:$L$11,10,FALSE)/($F18*8760)+H$1/1000)*HLOOKUP(Results!$B$2,Inputs!$B$2:'Inputs'!$L$9,4,FALSE) - PMT(HLOOKUP(Results!$B$2,Inputs!$B$2:'Inputs'!$L$9,6,FALSE),HLOOKUP(Results!$B$2,Inputs!$B$2:'Inputs'!$L$9,5,FALSE),PV(HLOOKUP(Results!$B$2,Inputs!$B$2:'Inputs'!$L$9,6,FALSE),10,Inputs!$B$22)))/(1-Inputs!$B$23)</f>
        <v>2.8597554391894415</v>
      </c>
      <c r="I18" s="20">
        <f>((HLOOKUP(Results!$B$2,Inputs!$B$2:$L$11,10,FALSE)/($F18*8760)+I$1/1000)*HLOOKUP(Results!$B$2,Inputs!$B$2:'Inputs'!$L$9,4,FALSE) - PMT(HLOOKUP(Results!$B$2,Inputs!$B$2:'Inputs'!$L$9,6,FALSE),HLOOKUP(Results!$B$2,Inputs!$B$2:'Inputs'!$L$9,5,FALSE),PV(HLOOKUP(Results!$B$2,Inputs!$B$2:'Inputs'!$L$9,6,FALSE),10,Inputs!$B$22)))/(1-Inputs!$B$23)</f>
        <v>2.3597554391894424</v>
      </c>
      <c r="J18" s="20">
        <f>((HLOOKUP(Results!$B$2,Inputs!$B$2:$L$11,10,FALSE)/($F18*8760)+J$1/1000)*HLOOKUP(Results!$B$2,Inputs!$B$2:'Inputs'!$L$9,4,FALSE) - PMT(HLOOKUP(Results!$B$2,Inputs!$B$2:'Inputs'!$L$9,6,FALSE),HLOOKUP(Results!$B$2,Inputs!$B$2:'Inputs'!$L$9,5,FALSE),PV(HLOOKUP(Results!$B$2,Inputs!$B$2:'Inputs'!$L$9,6,FALSE),10,Inputs!$B$22)))/(1-Inputs!$B$23)</f>
        <v>1.8597554391894415</v>
      </c>
      <c r="K18" s="20">
        <f>((HLOOKUP(Results!$B$2,Inputs!$B$2:$L$11,10,FALSE)/($F18*8760)+K$1/1000)*HLOOKUP(Results!$B$2,Inputs!$B$2:'Inputs'!$L$9,4,FALSE) - PMT(HLOOKUP(Results!$B$2,Inputs!$B$2:'Inputs'!$L$9,6,FALSE),HLOOKUP(Results!$B$2,Inputs!$B$2:'Inputs'!$L$9,5,FALSE),PV(HLOOKUP(Results!$B$2,Inputs!$B$2:'Inputs'!$L$9,6,FALSE),10,Inputs!$B$22)))/(1-Inputs!$B$23)</f>
        <v>1.3597554391894415</v>
      </c>
      <c r="L18" s="20">
        <f>((HLOOKUP(Results!$B$2,Inputs!$B$2:$L$11,10,FALSE)/($F18*8760)+L$1/1000)*HLOOKUP(Results!$B$2,Inputs!$B$2:'Inputs'!$L$9,4,FALSE) - PMT(HLOOKUP(Results!$B$2,Inputs!$B$2:'Inputs'!$L$9,6,FALSE),HLOOKUP(Results!$B$2,Inputs!$B$2:'Inputs'!$L$9,5,FALSE),PV(HLOOKUP(Results!$B$2,Inputs!$B$2:'Inputs'!$L$9,6,FALSE),10,Inputs!$B$22)))/(1-Inputs!$B$23)</f>
        <v>0.85975543918944153</v>
      </c>
      <c r="M18" s="20">
        <f>((HLOOKUP(Results!$B$2,Inputs!$B$2:$L$11,10,FALSE)/($F18*8760)+M$1/1000)*HLOOKUP(Results!$B$2,Inputs!$B$2:'Inputs'!$L$9,4,FALSE) - PMT(HLOOKUP(Results!$B$2,Inputs!$B$2:'Inputs'!$L$9,6,FALSE),HLOOKUP(Results!$B$2,Inputs!$B$2:'Inputs'!$L$9,5,FALSE),PV(HLOOKUP(Results!$B$2,Inputs!$B$2:'Inputs'!$L$9,6,FALSE),10,Inputs!$B$22)))/(1-Inputs!$B$23)</f>
        <v>0.35975543918944153</v>
      </c>
    </row>
    <row r="19" spans="6:13" x14ac:dyDescent="0.35">
      <c r="F19">
        <v>0.36</v>
      </c>
      <c r="G19" s="20">
        <f>((HLOOKUP(Results!$B$2,Inputs!$B$2:$L$11,10,FALSE)/($F19*8760)+G$1/1000)*HLOOKUP(Results!$B$2,Inputs!$B$2:'Inputs'!$L$9,4,FALSE) - PMT(HLOOKUP(Results!$B$2,Inputs!$B$2:'Inputs'!$L$9,6,FALSE),HLOOKUP(Results!$B$2,Inputs!$B$2:'Inputs'!$L$9,5,FALSE),PV(HLOOKUP(Results!$B$2,Inputs!$B$2:'Inputs'!$L$9,6,FALSE),10,Inputs!$B$22)))/(1-Inputs!$B$23)</f>
        <v>3.1731023592344729</v>
      </c>
      <c r="H19" s="20">
        <f>((HLOOKUP(Results!$B$2,Inputs!$B$2:$L$11,10,FALSE)/($F19*8760)+H$1/1000)*HLOOKUP(Results!$B$2,Inputs!$B$2:'Inputs'!$L$9,4,FALSE) - PMT(HLOOKUP(Results!$B$2,Inputs!$B$2:'Inputs'!$L$9,6,FALSE),HLOOKUP(Results!$B$2,Inputs!$B$2:'Inputs'!$L$9,5,FALSE),PV(HLOOKUP(Results!$B$2,Inputs!$B$2:'Inputs'!$L$9,6,FALSE),10,Inputs!$B$22)))/(1-Inputs!$B$23)</f>
        <v>2.6731023592344729</v>
      </c>
      <c r="I19" s="20">
        <f>((HLOOKUP(Results!$B$2,Inputs!$B$2:$L$11,10,FALSE)/($F19*8760)+I$1/1000)*HLOOKUP(Results!$B$2,Inputs!$B$2:'Inputs'!$L$9,4,FALSE) - PMT(HLOOKUP(Results!$B$2,Inputs!$B$2:'Inputs'!$L$9,6,FALSE),HLOOKUP(Results!$B$2,Inputs!$B$2:'Inputs'!$L$9,5,FALSE),PV(HLOOKUP(Results!$B$2,Inputs!$B$2:'Inputs'!$L$9,6,FALSE),10,Inputs!$B$22)))/(1-Inputs!$B$23)</f>
        <v>2.1731023592344729</v>
      </c>
      <c r="J19" s="20">
        <f>((HLOOKUP(Results!$B$2,Inputs!$B$2:$L$11,10,FALSE)/($F19*8760)+J$1/1000)*HLOOKUP(Results!$B$2,Inputs!$B$2:'Inputs'!$L$9,4,FALSE) - PMT(HLOOKUP(Results!$B$2,Inputs!$B$2:'Inputs'!$L$9,6,FALSE),HLOOKUP(Results!$B$2,Inputs!$B$2:'Inputs'!$L$9,5,FALSE),PV(HLOOKUP(Results!$B$2,Inputs!$B$2:'Inputs'!$L$9,6,FALSE),10,Inputs!$B$22)))/(1-Inputs!$B$23)</f>
        <v>1.6731023592344729</v>
      </c>
      <c r="K19" s="20">
        <f>((HLOOKUP(Results!$B$2,Inputs!$B$2:$L$11,10,FALSE)/($F19*8760)+K$1/1000)*HLOOKUP(Results!$B$2,Inputs!$B$2:'Inputs'!$L$9,4,FALSE) - PMT(HLOOKUP(Results!$B$2,Inputs!$B$2:'Inputs'!$L$9,6,FALSE),HLOOKUP(Results!$B$2,Inputs!$B$2:'Inputs'!$L$9,5,FALSE),PV(HLOOKUP(Results!$B$2,Inputs!$B$2:'Inputs'!$L$9,6,FALSE),10,Inputs!$B$22)))/(1-Inputs!$B$23)</f>
        <v>1.1731023592344729</v>
      </c>
      <c r="L19" s="20">
        <f>((HLOOKUP(Results!$B$2,Inputs!$B$2:$L$11,10,FALSE)/($F19*8760)+L$1/1000)*HLOOKUP(Results!$B$2,Inputs!$B$2:'Inputs'!$L$9,4,FALSE) - PMT(HLOOKUP(Results!$B$2,Inputs!$B$2:'Inputs'!$L$9,6,FALSE),HLOOKUP(Results!$B$2,Inputs!$B$2:'Inputs'!$L$9,5,FALSE),PV(HLOOKUP(Results!$B$2,Inputs!$B$2:'Inputs'!$L$9,6,FALSE),10,Inputs!$B$22)))/(1-Inputs!$B$23)</f>
        <v>0.67310235923447248</v>
      </c>
      <c r="M19" s="20">
        <f>((HLOOKUP(Results!$B$2,Inputs!$B$2:$L$11,10,FALSE)/($F19*8760)+M$1/1000)*HLOOKUP(Results!$B$2,Inputs!$B$2:'Inputs'!$L$9,4,FALSE) - PMT(HLOOKUP(Results!$B$2,Inputs!$B$2:'Inputs'!$L$9,6,FALSE),HLOOKUP(Results!$B$2,Inputs!$B$2:'Inputs'!$L$9,5,FALSE),PV(HLOOKUP(Results!$B$2,Inputs!$B$2:'Inputs'!$L$9,6,FALSE),10,Inputs!$B$22)))/(1-Inputs!$B$23)</f>
        <v>0.17310235923447292</v>
      </c>
    </row>
    <row r="20" spans="6:13" x14ac:dyDescent="0.35">
      <c r="F20">
        <v>0.38</v>
      </c>
      <c r="G20" s="20">
        <f>((HLOOKUP(Results!$B$2,Inputs!$B$2:$L$11,10,FALSE)/($F20*8760)+G$1/1000)*HLOOKUP(Results!$B$2,Inputs!$B$2:'Inputs'!$L$9,4,FALSE) - PMT(HLOOKUP(Results!$B$2,Inputs!$B$2:'Inputs'!$L$9,6,FALSE),HLOOKUP(Results!$B$2,Inputs!$B$2:'Inputs'!$L$9,5,FALSE),PV(HLOOKUP(Results!$B$2,Inputs!$B$2:'Inputs'!$L$9,6,FALSE),10,Inputs!$B$22)))/(1-Inputs!$B$23)</f>
        <v>3.006096971906342</v>
      </c>
      <c r="H20" s="20">
        <f>((HLOOKUP(Results!$B$2,Inputs!$B$2:$L$11,10,FALSE)/($F20*8760)+H$1/1000)*HLOOKUP(Results!$B$2,Inputs!$B$2:'Inputs'!$L$9,4,FALSE) - PMT(HLOOKUP(Results!$B$2,Inputs!$B$2:'Inputs'!$L$9,6,FALSE),HLOOKUP(Results!$B$2,Inputs!$B$2:'Inputs'!$L$9,5,FALSE),PV(HLOOKUP(Results!$B$2,Inputs!$B$2:'Inputs'!$L$9,6,FALSE),10,Inputs!$B$22)))/(1-Inputs!$B$23)</f>
        <v>2.5060969719063428</v>
      </c>
      <c r="I20" s="20">
        <f>((HLOOKUP(Results!$B$2,Inputs!$B$2:$L$11,10,FALSE)/($F20*8760)+I$1/1000)*HLOOKUP(Results!$B$2,Inputs!$B$2:'Inputs'!$L$9,4,FALSE) - PMT(HLOOKUP(Results!$B$2,Inputs!$B$2:'Inputs'!$L$9,6,FALSE),HLOOKUP(Results!$B$2,Inputs!$B$2:'Inputs'!$L$9,5,FALSE),PV(HLOOKUP(Results!$B$2,Inputs!$B$2:'Inputs'!$L$9,6,FALSE),10,Inputs!$B$22)))/(1-Inputs!$B$23)</f>
        <v>2.0060969719063428</v>
      </c>
      <c r="J20" s="20">
        <f>((HLOOKUP(Results!$B$2,Inputs!$B$2:$L$11,10,FALSE)/($F20*8760)+J$1/1000)*HLOOKUP(Results!$B$2,Inputs!$B$2:'Inputs'!$L$9,4,FALSE) - PMT(HLOOKUP(Results!$B$2,Inputs!$B$2:'Inputs'!$L$9,6,FALSE),HLOOKUP(Results!$B$2,Inputs!$B$2:'Inputs'!$L$9,5,FALSE),PV(HLOOKUP(Results!$B$2,Inputs!$B$2:'Inputs'!$L$9,6,FALSE),10,Inputs!$B$22)))/(1-Inputs!$B$23)</f>
        <v>1.506096971906342</v>
      </c>
      <c r="K20" s="20">
        <f>((HLOOKUP(Results!$B$2,Inputs!$B$2:$L$11,10,FALSE)/($F20*8760)+K$1/1000)*HLOOKUP(Results!$B$2,Inputs!$B$2:'Inputs'!$L$9,4,FALSE) - PMT(HLOOKUP(Results!$B$2,Inputs!$B$2:'Inputs'!$L$9,6,FALSE),HLOOKUP(Results!$B$2,Inputs!$B$2:'Inputs'!$L$9,5,FALSE),PV(HLOOKUP(Results!$B$2,Inputs!$B$2:'Inputs'!$L$9,6,FALSE),10,Inputs!$B$22)))/(1-Inputs!$B$23)</f>
        <v>1.0060969719063428</v>
      </c>
      <c r="L20" s="20">
        <f>((HLOOKUP(Results!$B$2,Inputs!$B$2:$L$11,10,FALSE)/($F20*8760)+L$1/1000)*HLOOKUP(Results!$B$2,Inputs!$B$2:'Inputs'!$L$9,4,FALSE) - PMT(HLOOKUP(Results!$B$2,Inputs!$B$2:'Inputs'!$L$9,6,FALSE),HLOOKUP(Results!$B$2,Inputs!$B$2:'Inputs'!$L$9,5,FALSE),PV(HLOOKUP(Results!$B$2,Inputs!$B$2:'Inputs'!$L$9,6,FALSE),10,Inputs!$B$22)))/(1-Inputs!$B$23)</f>
        <v>0.50609697190634284</v>
      </c>
      <c r="M20" s="20">
        <f>((HLOOKUP(Results!$B$2,Inputs!$B$2:$L$11,10,FALSE)/($F20*8760)+M$1/1000)*HLOOKUP(Results!$B$2,Inputs!$B$2:'Inputs'!$L$9,4,FALSE) - PMT(HLOOKUP(Results!$B$2,Inputs!$B$2:'Inputs'!$L$9,6,FALSE),HLOOKUP(Results!$B$2,Inputs!$B$2:'Inputs'!$L$9,5,FALSE),PV(HLOOKUP(Results!$B$2,Inputs!$B$2:'Inputs'!$L$9,6,FALSE),10,Inputs!$B$22)))/(1-Inputs!$B$23)</f>
        <v>6.0969719063423966E-3</v>
      </c>
    </row>
    <row r="21" spans="6:13" x14ac:dyDescent="0.35">
      <c r="F21">
        <v>0.4</v>
      </c>
      <c r="G21" s="20">
        <f>((HLOOKUP(Results!$B$2,Inputs!$B$2:$L$11,10,FALSE)/($F21*8760)+G$1/1000)*HLOOKUP(Results!$B$2,Inputs!$B$2:'Inputs'!$L$9,4,FALSE) - PMT(HLOOKUP(Results!$B$2,Inputs!$B$2:'Inputs'!$L$9,6,FALSE),HLOOKUP(Results!$B$2,Inputs!$B$2:'Inputs'!$L$9,5,FALSE),PV(HLOOKUP(Results!$B$2,Inputs!$B$2:'Inputs'!$L$9,6,FALSE),10,Inputs!$B$22)))/(1-Inputs!$B$23)</f>
        <v>2.8557921233110251</v>
      </c>
      <c r="H21" s="20">
        <f>((HLOOKUP(Results!$B$2,Inputs!$B$2:$L$11,10,FALSE)/($F21*8760)+H$1/1000)*HLOOKUP(Results!$B$2,Inputs!$B$2:'Inputs'!$L$9,4,FALSE) - PMT(HLOOKUP(Results!$B$2,Inputs!$B$2:'Inputs'!$L$9,6,FALSE),HLOOKUP(Results!$B$2,Inputs!$B$2:'Inputs'!$L$9,5,FALSE),PV(HLOOKUP(Results!$B$2,Inputs!$B$2:'Inputs'!$L$9,6,FALSE),10,Inputs!$B$22)))/(1-Inputs!$B$23)</f>
        <v>2.3557921233110259</v>
      </c>
      <c r="I21" s="20">
        <f>((HLOOKUP(Results!$B$2,Inputs!$B$2:$L$11,10,FALSE)/($F21*8760)+I$1/1000)*HLOOKUP(Results!$B$2,Inputs!$B$2:'Inputs'!$L$9,4,FALSE) - PMT(HLOOKUP(Results!$B$2,Inputs!$B$2:'Inputs'!$L$9,6,FALSE),HLOOKUP(Results!$B$2,Inputs!$B$2:'Inputs'!$L$9,5,FALSE),PV(HLOOKUP(Results!$B$2,Inputs!$B$2:'Inputs'!$L$9,6,FALSE),10,Inputs!$B$22)))/(1-Inputs!$B$23)</f>
        <v>1.8557921233110251</v>
      </c>
      <c r="J21" s="20">
        <f>((HLOOKUP(Results!$B$2,Inputs!$B$2:$L$11,10,FALSE)/($F21*8760)+J$1/1000)*HLOOKUP(Results!$B$2,Inputs!$B$2:'Inputs'!$L$9,4,FALSE) - PMT(HLOOKUP(Results!$B$2,Inputs!$B$2:'Inputs'!$L$9,6,FALSE),HLOOKUP(Results!$B$2,Inputs!$B$2:'Inputs'!$L$9,5,FALSE),PV(HLOOKUP(Results!$B$2,Inputs!$B$2:'Inputs'!$L$9,6,FALSE),10,Inputs!$B$22)))/(1-Inputs!$B$23)</f>
        <v>1.3557921233110259</v>
      </c>
      <c r="K21" s="20">
        <f>((HLOOKUP(Results!$B$2,Inputs!$B$2:$L$11,10,FALSE)/($F21*8760)+K$1/1000)*HLOOKUP(Results!$B$2,Inputs!$B$2:'Inputs'!$L$9,4,FALSE) - PMT(HLOOKUP(Results!$B$2,Inputs!$B$2:'Inputs'!$L$9,6,FALSE),HLOOKUP(Results!$B$2,Inputs!$B$2:'Inputs'!$L$9,5,FALSE),PV(HLOOKUP(Results!$B$2,Inputs!$B$2:'Inputs'!$L$9,6,FALSE),10,Inputs!$B$22)))/(1-Inputs!$B$23)</f>
        <v>0.85579212331102594</v>
      </c>
      <c r="L21" s="20">
        <f>((HLOOKUP(Results!$B$2,Inputs!$B$2:$L$11,10,FALSE)/($F21*8760)+L$1/1000)*HLOOKUP(Results!$B$2,Inputs!$B$2:'Inputs'!$L$9,4,FALSE) - PMT(HLOOKUP(Results!$B$2,Inputs!$B$2:'Inputs'!$L$9,6,FALSE),HLOOKUP(Results!$B$2,Inputs!$B$2:'Inputs'!$L$9,5,FALSE),PV(HLOOKUP(Results!$B$2,Inputs!$B$2:'Inputs'!$L$9,6,FALSE),10,Inputs!$B$22)))/(1-Inputs!$B$23)</f>
        <v>0.3557921233110255</v>
      </c>
      <c r="M21" s="20">
        <f>((HLOOKUP(Results!$B$2,Inputs!$B$2:$L$11,10,FALSE)/($F21*8760)+M$1/1000)*HLOOKUP(Results!$B$2,Inputs!$B$2:'Inputs'!$L$9,4,FALSE) - PMT(HLOOKUP(Results!$B$2,Inputs!$B$2:'Inputs'!$L$9,6,FALSE),HLOOKUP(Results!$B$2,Inputs!$B$2:'Inputs'!$L$9,5,FALSE),PV(HLOOKUP(Results!$B$2,Inputs!$B$2:'Inputs'!$L$9,6,FALSE),10,Inputs!$B$22)))/(1-Inputs!$B$23)</f>
        <v>-0.1442078766889745</v>
      </c>
    </row>
    <row r="22" spans="6:13" x14ac:dyDescent="0.35">
      <c r="F22">
        <v>0.42</v>
      </c>
      <c r="G22" s="20">
        <f>((HLOOKUP(Results!$B$2,Inputs!$B$2:$L$11,10,FALSE)/($F22*8760)+G$1/1000)*HLOOKUP(Results!$B$2,Inputs!$B$2:'Inputs'!$L$9,4,FALSE) - PMT(HLOOKUP(Results!$B$2,Inputs!$B$2:'Inputs'!$L$9,6,FALSE),HLOOKUP(Results!$B$2,Inputs!$B$2:'Inputs'!$L$9,5,FALSE),PV(HLOOKUP(Results!$B$2,Inputs!$B$2:'Inputs'!$L$9,6,FALSE),10,Inputs!$B$22)))/(1-Inputs!$B$23)</f>
        <v>2.7198020222009771</v>
      </c>
      <c r="H22" s="20">
        <f>((HLOOKUP(Results!$B$2,Inputs!$B$2:$L$11,10,FALSE)/($F22*8760)+H$1/1000)*HLOOKUP(Results!$B$2,Inputs!$B$2:'Inputs'!$L$9,4,FALSE) - PMT(HLOOKUP(Results!$B$2,Inputs!$B$2:'Inputs'!$L$9,6,FALSE),HLOOKUP(Results!$B$2,Inputs!$B$2:'Inputs'!$L$9,5,FALSE),PV(HLOOKUP(Results!$B$2,Inputs!$B$2:'Inputs'!$L$9,6,FALSE),10,Inputs!$B$22)))/(1-Inputs!$B$23)</f>
        <v>2.2198020222009762</v>
      </c>
      <c r="I22" s="20">
        <f>((HLOOKUP(Results!$B$2,Inputs!$B$2:$L$11,10,FALSE)/($F22*8760)+I$1/1000)*HLOOKUP(Results!$B$2,Inputs!$B$2:'Inputs'!$L$9,4,FALSE) - PMT(HLOOKUP(Results!$B$2,Inputs!$B$2:'Inputs'!$L$9,6,FALSE),HLOOKUP(Results!$B$2,Inputs!$B$2:'Inputs'!$L$9,5,FALSE),PV(HLOOKUP(Results!$B$2,Inputs!$B$2:'Inputs'!$L$9,6,FALSE),10,Inputs!$B$22)))/(1-Inputs!$B$23)</f>
        <v>1.7198020222009771</v>
      </c>
      <c r="J22" s="20">
        <f>((HLOOKUP(Results!$B$2,Inputs!$B$2:$L$11,10,FALSE)/($F22*8760)+J$1/1000)*HLOOKUP(Results!$B$2,Inputs!$B$2:'Inputs'!$L$9,4,FALSE) - PMT(HLOOKUP(Results!$B$2,Inputs!$B$2:'Inputs'!$L$9,6,FALSE),HLOOKUP(Results!$B$2,Inputs!$B$2:'Inputs'!$L$9,5,FALSE),PV(HLOOKUP(Results!$B$2,Inputs!$B$2:'Inputs'!$L$9,6,FALSE),10,Inputs!$B$22)))/(1-Inputs!$B$23)</f>
        <v>1.2198020222009771</v>
      </c>
      <c r="K22" s="20">
        <f>((HLOOKUP(Results!$B$2,Inputs!$B$2:$L$11,10,FALSE)/($F22*8760)+K$1/1000)*HLOOKUP(Results!$B$2,Inputs!$B$2:'Inputs'!$L$9,4,FALSE) - PMT(HLOOKUP(Results!$B$2,Inputs!$B$2:'Inputs'!$L$9,6,FALSE),HLOOKUP(Results!$B$2,Inputs!$B$2:'Inputs'!$L$9,5,FALSE),PV(HLOOKUP(Results!$B$2,Inputs!$B$2:'Inputs'!$L$9,6,FALSE),10,Inputs!$B$22)))/(1-Inputs!$B$23)</f>
        <v>0.71980202220097667</v>
      </c>
      <c r="L22" s="20">
        <f>((HLOOKUP(Results!$B$2,Inputs!$B$2:$L$11,10,FALSE)/($F22*8760)+L$1/1000)*HLOOKUP(Results!$B$2,Inputs!$B$2:'Inputs'!$L$9,4,FALSE) - PMT(HLOOKUP(Results!$B$2,Inputs!$B$2:'Inputs'!$L$9,6,FALSE),HLOOKUP(Results!$B$2,Inputs!$B$2:'Inputs'!$L$9,5,FALSE),PV(HLOOKUP(Results!$B$2,Inputs!$B$2:'Inputs'!$L$9,6,FALSE),10,Inputs!$B$22)))/(1-Inputs!$B$23)</f>
        <v>0.21980202220097667</v>
      </c>
      <c r="M22" s="20">
        <f>((HLOOKUP(Results!$B$2,Inputs!$B$2:$L$11,10,FALSE)/($F22*8760)+M$1/1000)*HLOOKUP(Results!$B$2,Inputs!$B$2:'Inputs'!$L$9,4,FALSE) - PMT(HLOOKUP(Results!$B$2,Inputs!$B$2:'Inputs'!$L$9,6,FALSE),HLOOKUP(Results!$B$2,Inputs!$B$2:'Inputs'!$L$9,5,FALSE),PV(HLOOKUP(Results!$B$2,Inputs!$B$2:'Inputs'!$L$9,6,FALSE),10,Inputs!$B$22)))/(1-Inputs!$B$23)</f>
        <v>-0.28019797779902333</v>
      </c>
    </row>
    <row r="23" spans="6:13" x14ac:dyDescent="0.35">
      <c r="F23">
        <v>0.44</v>
      </c>
      <c r="G23" s="20">
        <f>((HLOOKUP(Results!$B$2,Inputs!$B$2:$L$11,10,FALSE)/($F23*8760)+G$1/1000)*HLOOKUP(Results!$B$2,Inputs!$B$2:'Inputs'!$L$9,4,FALSE) - PMT(HLOOKUP(Results!$B$2,Inputs!$B$2:'Inputs'!$L$9,6,FALSE),HLOOKUP(Results!$B$2,Inputs!$B$2:'Inputs'!$L$9,5,FALSE),PV(HLOOKUP(Results!$B$2,Inputs!$B$2:'Inputs'!$L$9,6,FALSE),10,Inputs!$B$22)))/(1-Inputs!$B$23)</f>
        <v>2.5961746575554776</v>
      </c>
      <c r="H23" s="20">
        <f>((HLOOKUP(Results!$B$2,Inputs!$B$2:$L$11,10,FALSE)/($F23*8760)+H$1/1000)*HLOOKUP(Results!$B$2,Inputs!$B$2:'Inputs'!$L$9,4,FALSE) - PMT(HLOOKUP(Results!$B$2,Inputs!$B$2:'Inputs'!$L$9,6,FALSE),HLOOKUP(Results!$B$2,Inputs!$B$2:'Inputs'!$L$9,5,FALSE),PV(HLOOKUP(Results!$B$2,Inputs!$B$2:'Inputs'!$L$9,6,FALSE),10,Inputs!$B$22)))/(1-Inputs!$B$23)</f>
        <v>2.0961746575554785</v>
      </c>
      <c r="I23" s="20">
        <f>((HLOOKUP(Results!$B$2,Inputs!$B$2:$L$11,10,FALSE)/($F23*8760)+I$1/1000)*HLOOKUP(Results!$B$2,Inputs!$B$2:'Inputs'!$L$9,4,FALSE) - PMT(HLOOKUP(Results!$B$2,Inputs!$B$2:'Inputs'!$L$9,6,FALSE),HLOOKUP(Results!$B$2,Inputs!$B$2:'Inputs'!$L$9,5,FALSE),PV(HLOOKUP(Results!$B$2,Inputs!$B$2:'Inputs'!$L$9,6,FALSE),10,Inputs!$B$22)))/(1-Inputs!$B$23)</f>
        <v>1.5961746575554776</v>
      </c>
      <c r="J23" s="20">
        <f>((HLOOKUP(Results!$B$2,Inputs!$B$2:$L$11,10,FALSE)/($F23*8760)+J$1/1000)*HLOOKUP(Results!$B$2,Inputs!$B$2:'Inputs'!$L$9,4,FALSE) - PMT(HLOOKUP(Results!$B$2,Inputs!$B$2:'Inputs'!$L$9,6,FALSE),HLOOKUP(Results!$B$2,Inputs!$B$2:'Inputs'!$L$9,5,FALSE),PV(HLOOKUP(Results!$B$2,Inputs!$B$2:'Inputs'!$L$9,6,FALSE),10,Inputs!$B$22)))/(1-Inputs!$B$23)</f>
        <v>1.0961746575554776</v>
      </c>
      <c r="K23" s="20">
        <f>((HLOOKUP(Results!$B$2,Inputs!$B$2:$L$11,10,FALSE)/($F23*8760)+K$1/1000)*HLOOKUP(Results!$B$2,Inputs!$B$2:'Inputs'!$L$9,4,FALSE) - PMT(HLOOKUP(Results!$B$2,Inputs!$B$2:'Inputs'!$L$9,6,FALSE),HLOOKUP(Results!$B$2,Inputs!$B$2:'Inputs'!$L$9,5,FALSE),PV(HLOOKUP(Results!$B$2,Inputs!$B$2:'Inputs'!$L$9,6,FALSE),10,Inputs!$B$22)))/(1-Inputs!$B$23)</f>
        <v>0.59617465755547761</v>
      </c>
      <c r="L23" s="20">
        <f>((HLOOKUP(Results!$B$2,Inputs!$B$2:$L$11,10,FALSE)/($F23*8760)+L$1/1000)*HLOOKUP(Results!$B$2,Inputs!$B$2:'Inputs'!$L$9,4,FALSE) - PMT(HLOOKUP(Results!$B$2,Inputs!$B$2:'Inputs'!$L$9,6,FALSE),HLOOKUP(Results!$B$2,Inputs!$B$2:'Inputs'!$L$9,5,FALSE),PV(HLOOKUP(Results!$B$2,Inputs!$B$2:'Inputs'!$L$9,6,FALSE),10,Inputs!$B$22)))/(1-Inputs!$B$23)</f>
        <v>9.6174657555477605E-2</v>
      </c>
      <c r="M23" s="20">
        <f>((HLOOKUP(Results!$B$2,Inputs!$B$2:$L$11,10,FALSE)/($F23*8760)+M$1/1000)*HLOOKUP(Results!$B$2,Inputs!$B$2:'Inputs'!$L$9,4,FALSE) - PMT(HLOOKUP(Results!$B$2,Inputs!$B$2:'Inputs'!$L$9,6,FALSE),HLOOKUP(Results!$B$2,Inputs!$B$2:'Inputs'!$L$9,5,FALSE),PV(HLOOKUP(Results!$B$2,Inputs!$B$2:'Inputs'!$L$9,6,FALSE),10,Inputs!$B$22)))/(1-Inputs!$B$23)</f>
        <v>-0.40382534244452239</v>
      </c>
    </row>
    <row r="24" spans="6:13" x14ac:dyDescent="0.35">
      <c r="F24">
        <v>0.46</v>
      </c>
      <c r="G24" s="20">
        <f>((HLOOKUP(Results!$B$2,Inputs!$B$2:$L$11,10,FALSE)/($F24*8760)+G$1/1000)*HLOOKUP(Results!$B$2,Inputs!$B$2:'Inputs'!$L$9,4,FALSE) - PMT(HLOOKUP(Results!$B$2,Inputs!$B$2:'Inputs'!$L$9,6,FALSE),HLOOKUP(Results!$B$2,Inputs!$B$2:'Inputs'!$L$9,5,FALSE),PV(HLOOKUP(Results!$B$2,Inputs!$B$2:'Inputs'!$L$9,6,FALSE),10,Inputs!$B$22)))/(1-Inputs!$B$23)</f>
        <v>2.4832974985313263</v>
      </c>
      <c r="H24" s="20">
        <f>((HLOOKUP(Results!$B$2,Inputs!$B$2:$L$11,10,FALSE)/($F24*8760)+H$1/1000)*HLOOKUP(Results!$B$2,Inputs!$B$2:'Inputs'!$L$9,4,FALSE) - PMT(HLOOKUP(Results!$B$2,Inputs!$B$2:'Inputs'!$L$9,6,FALSE),HLOOKUP(Results!$B$2,Inputs!$B$2:'Inputs'!$L$9,5,FALSE),PV(HLOOKUP(Results!$B$2,Inputs!$B$2:'Inputs'!$L$9,6,FALSE),10,Inputs!$B$22)))/(1-Inputs!$B$23)</f>
        <v>1.9832974985313263</v>
      </c>
      <c r="I24" s="20">
        <f>((HLOOKUP(Results!$B$2,Inputs!$B$2:$L$11,10,FALSE)/($F24*8760)+I$1/1000)*HLOOKUP(Results!$B$2,Inputs!$B$2:'Inputs'!$L$9,4,FALSE) - PMT(HLOOKUP(Results!$B$2,Inputs!$B$2:'Inputs'!$L$9,6,FALSE),HLOOKUP(Results!$B$2,Inputs!$B$2:'Inputs'!$L$9,5,FALSE),PV(HLOOKUP(Results!$B$2,Inputs!$B$2:'Inputs'!$L$9,6,FALSE),10,Inputs!$B$22)))/(1-Inputs!$B$23)</f>
        <v>1.4832974985313263</v>
      </c>
      <c r="J24" s="20">
        <f>((HLOOKUP(Results!$B$2,Inputs!$B$2:$L$11,10,FALSE)/($F24*8760)+J$1/1000)*HLOOKUP(Results!$B$2,Inputs!$B$2:'Inputs'!$L$9,4,FALSE) - PMT(HLOOKUP(Results!$B$2,Inputs!$B$2:'Inputs'!$L$9,6,FALSE),HLOOKUP(Results!$B$2,Inputs!$B$2:'Inputs'!$L$9,5,FALSE),PV(HLOOKUP(Results!$B$2,Inputs!$B$2:'Inputs'!$L$9,6,FALSE),10,Inputs!$B$22)))/(1-Inputs!$B$23)</f>
        <v>0.98329749853132631</v>
      </c>
      <c r="K24" s="20">
        <f>((HLOOKUP(Results!$B$2,Inputs!$B$2:$L$11,10,FALSE)/($F24*8760)+K$1/1000)*HLOOKUP(Results!$B$2,Inputs!$B$2:'Inputs'!$L$9,4,FALSE) - PMT(HLOOKUP(Results!$B$2,Inputs!$B$2:'Inputs'!$L$9,6,FALSE),HLOOKUP(Results!$B$2,Inputs!$B$2:'Inputs'!$L$9,5,FALSE),PV(HLOOKUP(Results!$B$2,Inputs!$B$2:'Inputs'!$L$9,6,FALSE),10,Inputs!$B$22)))/(1-Inputs!$B$23)</f>
        <v>0.48329749853132586</v>
      </c>
      <c r="L24" s="20">
        <f>((HLOOKUP(Results!$B$2,Inputs!$B$2:$L$11,10,FALSE)/($F24*8760)+L$1/1000)*HLOOKUP(Results!$B$2,Inputs!$B$2:'Inputs'!$L$9,4,FALSE) - PMT(HLOOKUP(Results!$B$2,Inputs!$B$2:'Inputs'!$L$9,6,FALSE),HLOOKUP(Results!$B$2,Inputs!$B$2:'Inputs'!$L$9,5,FALSE),PV(HLOOKUP(Results!$B$2,Inputs!$B$2:'Inputs'!$L$9,6,FALSE),10,Inputs!$B$22)))/(1-Inputs!$B$23)</f>
        <v>-1.6702501468673692E-2</v>
      </c>
      <c r="M24" s="20">
        <f>((HLOOKUP(Results!$B$2,Inputs!$B$2:$L$11,10,FALSE)/($F24*8760)+M$1/1000)*HLOOKUP(Results!$B$2,Inputs!$B$2:'Inputs'!$L$9,4,FALSE) - PMT(HLOOKUP(Results!$B$2,Inputs!$B$2:'Inputs'!$L$9,6,FALSE),HLOOKUP(Results!$B$2,Inputs!$B$2:'Inputs'!$L$9,5,FALSE),PV(HLOOKUP(Results!$B$2,Inputs!$B$2:'Inputs'!$L$9,6,FALSE),10,Inputs!$B$22)))/(1-Inputs!$B$23)</f>
        <v>-0.51670250146867369</v>
      </c>
    </row>
    <row r="25" spans="6:13" x14ac:dyDescent="0.35">
      <c r="F25">
        <v>0.48</v>
      </c>
      <c r="G25" s="20">
        <f>((HLOOKUP(Results!$B$2,Inputs!$B$2:$L$11,10,FALSE)/($F25*8760)+G$1/1000)*HLOOKUP(Results!$B$2,Inputs!$B$2:'Inputs'!$L$9,4,FALSE) - PMT(HLOOKUP(Results!$B$2,Inputs!$B$2:'Inputs'!$L$9,6,FALSE),HLOOKUP(Results!$B$2,Inputs!$B$2:'Inputs'!$L$9,5,FALSE),PV(HLOOKUP(Results!$B$2,Inputs!$B$2:'Inputs'!$L$9,6,FALSE),10,Inputs!$B$22)))/(1-Inputs!$B$23)</f>
        <v>2.3798267694258546</v>
      </c>
      <c r="H25" s="20">
        <f>((HLOOKUP(Results!$B$2,Inputs!$B$2:$L$11,10,FALSE)/($F25*8760)+H$1/1000)*HLOOKUP(Results!$B$2,Inputs!$B$2:'Inputs'!$L$9,4,FALSE) - PMT(HLOOKUP(Results!$B$2,Inputs!$B$2:'Inputs'!$L$9,6,FALSE),HLOOKUP(Results!$B$2,Inputs!$B$2:'Inputs'!$L$9,5,FALSE),PV(HLOOKUP(Results!$B$2,Inputs!$B$2:'Inputs'!$L$9,6,FALSE),10,Inputs!$B$22)))/(1-Inputs!$B$23)</f>
        <v>1.8798267694258537</v>
      </c>
      <c r="I25" s="20">
        <f>((HLOOKUP(Results!$B$2,Inputs!$B$2:$L$11,10,FALSE)/($F25*8760)+I$1/1000)*HLOOKUP(Results!$B$2,Inputs!$B$2:'Inputs'!$L$9,4,FALSE) - PMT(HLOOKUP(Results!$B$2,Inputs!$B$2:'Inputs'!$L$9,6,FALSE),HLOOKUP(Results!$B$2,Inputs!$B$2:'Inputs'!$L$9,5,FALSE),PV(HLOOKUP(Results!$B$2,Inputs!$B$2:'Inputs'!$L$9,6,FALSE),10,Inputs!$B$22)))/(1-Inputs!$B$23)</f>
        <v>1.3798267694258546</v>
      </c>
      <c r="J25" s="20">
        <f>((HLOOKUP(Results!$B$2,Inputs!$B$2:$L$11,10,FALSE)/($F25*8760)+J$1/1000)*HLOOKUP(Results!$B$2,Inputs!$B$2:'Inputs'!$L$9,4,FALSE) - PMT(HLOOKUP(Results!$B$2,Inputs!$B$2:'Inputs'!$L$9,6,FALSE),HLOOKUP(Results!$B$2,Inputs!$B$2:'Inputs'!$L$9,5,FALSE),PV(HLOOKUP(Results!$B$2,Inputs!$B$2:'Inputs'!$L$9,6,FALSE),10,Inputs!$B$22)))/(1-Inputs!$B$23)</f>
        <v>0.87982676942585458</v>
      </c>
      <c r="K25" s="20">
        <f>((HLOOKUP(Results!$B$2,Inputs!$B$2:$L$11,10,FALSE)/($F25*8760)+K$1/1000)*HLOOKUP(Results!$B$2,Inputs!$B$2:'Inputs'!$L$9,4,FALSE) - PMT(HLOOKUP(Results!$B$2,Inputs!$B$2:'Inputs'!$L$9,6,FALSE),HLOOKUP(Results!$B$2,Inputs!$B$2:'Inputs'!$L$9,5,FALSE),PV(HLOOKUP(Results!$B$2,Inputs!$B$2:'Inputs'!$L$9,6,FALSE),10,Inputs!$B$22)))/(1-Inputs!$B$23)</f>
        <v>0.37982676942585414</v>
      </c>
      <c r="L25" s="20">
        <f>((HLOOKUP(Results!$B$2,Inputs!$B$2:$L$11,10,FALSE)/($F25*8760)+L$1/1000)*HLOOKUP(Results!$B$2,Inputs!$B$2:'Inputs'!$L$9,4,FALSE) - PMT(HLOOKUP(Results!$B$2,Inputs!$B$2:'Inputs'!$L$9,6,FALSE),HLOOKUP(Results!$B$2,Inputs!$B$2:'Inputs'!$L$9,5,FALSE),PV(HLOOKUP(Results!$B$2,Inputs!$B$2:'Inputs'!$L$9,6,FALSE),10,Inputs!$B$22)))/(1-Inputs!$B$23)</f>
        <v>-0.12017323057414542</v>
      </c>
      <c r="M25" s="20">
        <f>((HLOOKUP(Results!$B$2,Inputs!$B$2:$L$11,10,FALSE)/($F25*8760)+M$1/1000)*HLOOKUP(Results!$B$2,Inputs!$B$2:'Inputs'!$L$9,4,FALSE) - PMT(HLOOKUP(Results!$B$2,Inputs!$B$2:'Inputs'!$L$9,6,FALSE),HLOOKUP(Results!$B$2,Inputs!$B$2:'Inputs'!$L$9,5,FALSE),PV(HLOOKUP(Results!$B$2,Inputs!$B$2:'Inputs'!$L$9,6,FALSE),10,Inputs!$B$22)))/(1-Inputs!$B$23)</f>
        <v>-0.62017323057414586</v>
      </c>
    </row>
    <row r="26" spans="6:13" x14ac:dyDescent="0.35">
      <c r="F26">
        <v>0.5</v>
      </c>
      <c r="G26" s="20">
        <f>((HLOOKUP(Results!$B$2,Inputs!$B$2:$L$11,10,FALSE)/($F26*8760)+G$1/1000)*HLOOKUP(Results!$B$2,Inputs!$B$2:'Inputs'!$L$9,4,FALSE) - PMT(HLOOKUP(Results!$B$2,Inputs!$B$2:'Inputs'!$L$9,6,FALSE),HLOOKUP(Results!$B$2,Inputs!$B$2:'Inputs'!$L$9,5,FALSE),PV(HLOOKUP(Results!$B$2,Inputs!$B$2:'Inputs'!$L$9,6,FALSE),10,Inputs!$B$22)))/(1-Inputs!$B$23)</f>
        <v>2.2846336986488196</v>
      </c>
      <c r="H26" s="20">
        <f>((HLOOKUP(Results!$B$2,Inputs!$B$2:$L$11,10,FALSE)/($F26*8760)+H$1/1000)*HLOOKUP(Results!$B$2,Inputs!$B$2:'Inputs'!$L$9,4,FALSE) - PMT(HLOOKUP(Results!$B$2,Inputs!$B$2:'Inputs'!$L$9,6,FALSE),HLOOKUP(Results!$B$2,Inputs!$B$2:'Inputs'!$L$9,5,FALSE),PV(HLOOKUP(Results!$B$2,Inputs!$B$2:'Inputs'!$L$9,6,FALSE),10,Inputs!$B$22)))/(1-Inputs!$B$23)</f>
        <v>1.7846336986488214</v>
      </c>
      <c r="I26" s="20">
        <f>((HLOOKUP(Results!$B$2,Inputs!$B$2:$L$11,10,FALSE)/($F26*8760)+I$1/1000)*HLOOKUP(Results!$B$2,Inputs!$B$2:'Inputs'!$L$9,4,FALSE) - PMT(HLOOKUP(Results!$B$2,Inputs!$B$2:'Inputs'!$L$9,6,FALSE),HLOOKUP(Results!$B$2,Inputs!$B$2:'Inputs'!$L$9,5,FALSE),PV(HLOOKUP(Results!$B$2,Inputs!$B$2:'Inputs'!$L$9,6,FALSE),10,Inputs!$B$22)))/(1-Inputs!$B$23)</f>
        <v>1.2846336986488205</v>
      </c>
      <c r="J26" s="20">
        <f>((HLOOKUP(Results!$B$2,Inputs!$B$2:$L$11,10,FALSE)/($F26*8760)+J$1/1000)*HLOOKUP(Results!$B$2,Inputs!$B$2:'Inputs'!$L$9,4,FALSE) - PMT(HLOOKUP(Results!$B$2,Inputs!$B$2:'Inputs'!$L$9,6,FALSE),HLOOKUP(Results!$B$2,Inputs!$B$2:'Inputs'!$L$9,5,FALSE),PV(HLOOKUP(Results!$B$2,Inputs!$B$2:'Inputs'!$L$9,6,FALSE),10,Inputs!$B$22)))/(1-Inputs!$B$23)</f>
        <v>0.78463369864882004</v>
      </c>
      <c r="K26" s="20">
        <f>((HLOOKUP(Results!$B$2,Inputs!$B$2:$L$11,10,FALSE)/($F26*8760)+K$1/1000)*HLOOKUP(Results!$B$2,Inputs!$B$2:'Inputs'!$L$9,4,FALSE) - PMT(HLOOKUP(Results!$B$2,Inputs!$B$2:'Inputs'!$L$9,6,FALSE),HLOOKUP(Results!$B$2,Inputs!$B$2:'Inputs'!$L$9,5,FALSE),PV(HLOOKUP(Results!$B$2,Inputs!$B$2:'Inputs'!$L$9,6,FALSE),10,Inputs!$B$22)))/(1-Inputs!$B$23)</f>
        <v>0.28463369864882049</v>
      </c>
      <c r="L26" s="20">
        <f>((HLOOKUP(Results!$B$2,Inputs!$B$2:$L$11,10,FALSE)/($F26*8760)+L$1/1000)*HLOOKUP(Results!$B$2,Inputs!$B$2:'Inputs'!$L$9,4,FALSE) - PMT(HLOOKUP(Results!$B$2,Inputs!$B$2:'Inputs'!$L$9,6,FALSE),HLOOKUP(Results!$B$2,Inputs!$B$2:'Inputs'!$L$9,5,FALSE),PV(HLOOKUP(Results!$B$2,Inputs!$B$2:'Inputs'!$L$9,6,FALSE),10,Inputs!$B$22)))/(1-Inputs!$B$23)</f>
        <v>-0.21536630135117951</v>
      </c>
      <c r="M26" s="20">
        <f>((HLOOKUP(Results!$B$2,Inputs!$B$2:$L$11,10,FALSE)/($F26*8760)+M$1/1000)*HLOOKUP(Results!$B$2,Inputs!$B$2:'Inputs'!$L$9,4,FALSE) - PMT(HLOOKUP(Results!$B$2,Inputs!$B$2:'Inputs'!$L$9,6,FALSE),HLOOKUP(Results!$B$2,Inputs!$B$2:'Inputs'!$L$9,5,FALSE),PV(HLOOKUP(Results!$B$2,Inputs!$B$2:'Inputs'!$L$9,6,FALSE),10,Inputs!$B$22)))/(1-Inputs!$B$23)</f>
        <v>-0.71536630135117951</v>
      </c>
    </row>
    <row r="27" spans="6:13" x14ac:dyDescent="0.35">
      <c r="F27">
        <v>0.52</v>
      </c>
      <c r="G27" s="20">
        <f>((HLOOKUP(Results!$B$2,Inputs!$B$2:$L$11,10,FALSE)/($F27*8760)+G$1/1000)*HLOOKUP(Results!$B$2,Inputs!$B$2:'Inputs'!$L$9,4,FALSE) - PMT(HLOOKUP(Results!$B$2,Inputs!$B$2:'Inputs'!$L$9,6,FALSE),HLOOKUP(Results!$B$2,Inputs!$B$2:'Inputs'!$L$9,5,FALSE),PV(HLOOKUP(Results!$B$2,Inputs!$B$2:'Inputs'!$L$9,6,FALSE),10,Inputs!$B$22)))/(1-Inputs!$B$23)</f>
        <v>2.1967631717777114</v>
      </c>
      <c r="H27" s="20">
        <f>((HLOOKUP(Results!$B$2,Inputs!$B$2:$L$11,10,FALSE)/($F27*8760)+H$1/1000)*HLOOKUP(Results!$B$2,Inputs!$B$2:'Inputs'!$L$9,4,FALSE) - PMT(HLOOKUP(Results!$B$2,Inputs!$B$2:'Inputs'!$L$9,6,FALSE),HLOOKUP(Results!$B$2,Inputs!$B$2:'Inputs'!$L$9,5,FALSE),PV(HLOOKUP(Results!$B$2,Inputs!$B$2:'Inputs'!$L$9,6,FALSE),10,Inputs!$B$22)))/(1-Inputs!$B$23)</f>
        <v>1.6967631717777123</v>
      </c>
      <c r="I27" s="20">
        <f>((HLOOKUP(Results!$B$2,Inputs!$B$2:$L$11,10,FALSE)/($F27*8760)+I$1/1000)*HLOOKUP(Results!$B$2,Inputs!$B$2:'Inputs'!$L$9,4,FALSE) - PMT(HLOOKUP(Results!$B$2,Inputs!$B$2:'Inputs'!$L$9,6,FALSE),HLOOKUP(Results!$B$2,Inputs!$B$2:'Inputs'!$L$9,5,FALSE),PV(HLOOKUP(Results!$B$2,Inputs!$B$2:'Inputs'!$L$9,6,FALSE),10,Inputs!$B$22)))/(1-Inputs!$B$23)</f>
        <v>1.1967631717777114</v>
      </c>
      <c r="J27" s="20">
        <f>((HLOOKUP(Results!$B$2,Inputs!$B$2:$L$11,10,FALSE)/($F27*8760)+J$1/1000)*HLOOKUP(Results!$B$2,Inputs!$B$2:'Inputs'!$L$9,4,FALSE) - PMT(HLOOKUP(Results!$B$2,Inputs!$B$2:'Inputs'!$L$9,6,FALSE),HLOOKUP(Results!$B$2,Inputs!$B$2:'Inputs'!$L$9,5,FALSE),PV(HLOOKUP(Results!$B$2,Inputs!$B$2:'Inputs'!$L$9,6,FALSE),10,Inputs!$B$22)))/(1-Inputs!$B$23)</f>
        <v>0.69676317177771185</v>
      </c>
      <c r="K27" s="20">
        <f>((HLOOKUP(Results!$B$2,Inputs!$B$2:$L$11,10,FALSE)/($F27*8760)+K$1/1000)*HLOOKUP(Results!$B$2,Inputs!$B$2:'Inputs'!$L$9,4,FALSE) - PMT(HLOOKUP(Results!$B$2,Inputs!$B$2:'Inputs'!$L$9,6,FALSE),HLOOKUP(Results!$B$2,Inputs!$B$2:'Inputs'!$L$9,5,FALSE),PV(HLOOKUP(Results!$B$2,Inputs!$B$2:'Inputs'!$L$9,6,FALSE),10,Inputs!$B$22)))/(1-Inputs!$B$23)</f>
        <v>0.1967631717777123</v>
      </c>
      <c r="L27" s="20">
        <f>((HLOOKUP(Results!$B$2,Inputs!$B$2:$L$11,10,FALSE)/($F27*8760)+L$1/1000)*HLOOKUP(Results!$B$2,Inputs!$B$2:'Inputs'!$L$9,4,FALSE) - PMT(HLOOKUP(Results!$B$2,Inputs!$B$2:'Inputs'!$L$9,6,FALSE),HLOOKUP(Results!$B$2,Inputs!$B$2:'Inputs'!$L$9,5,FALSE),PV(HLOOKUP(Results!$B$2,Inputs!$B$2:'Inputs'!$L$9,6,FALSE),10,Inputs!$B$22)))/(1-Inputs!$B$23)</f>
        <v>-0.30323682822228815</v>
      </c>
      <c r="M27" s="20">
        <f>((HLOOKUP(Results!$B$2,Inputs!$B$2:$L$11,10,FALSE)/($F27*8760)+M$1/1000)*HLOOKUP(Results!$B$2,Inputs!$B$2:'Inputs'!$L$9,4,FALSE) - PMT(HLOOKUP(Results!$B$2,Inputs!$B$2:'Inputs'!$L$9,6,FALSE),HLOOKUP(Results!$B$2,Inputs!$B$2:'Inputs'!$L$9,5,FALSE),PV(HLOOKUP(Results!$B$2,Inputs!$B$2:'Inputs'!$L$9,6,FALSE),10,Inputs!$B$22)))/(1-Inputs!$B$23)</f>
        <v>-0.80323682822228815</v>
      </c>
    </row>
    <row r="28" spans="6:13" x14ac:dyDescent="0.35">
      <c r="F28">
        <v>0.54</v>
      </c>
      <c r="G28" s="20">
        <f>((HLOOKUP(Results!$B$2,Inputs!$B$2:$L$11,10,FALSE)/($F28*8760)+G$1/1000)*HLOOKUP(Results!$B$2,Inputs!$B$2:'Inputs'!$L$9,4,FALSE) - PMT(HLOOKUP(Results!$B$2,Inputs!$B$2:'Inputs'!$L$9,6,FALSE),HLOOKUP(Results!$B$2,Inputs!$B$2:'Inputs'!$L$9,5,FALSE),PV(HLOOKUP(Results!$B$2,Inputs!$B$2:'Inputs'!$L$9,6,FALSE),10,Inputs!$B$22)))/(1-Inputs!$B$23)</f>
        <v>2.1154015728229818</v>
      </c>
      <c r="H28" s="20">
        <f>((HLOOKUP(Results!$B$2,Inputs!$B$2:$L$11,10,FALSE)/($F28*8760)+H$1/1000)*HLOOKUP(Results!$B$2,Inputs!$B$2:'Inputs'!$L$9,4,FALSE) - PMT(HLOOKUP(Results!$B$2,Inputs!$B$2:'Inputs'!$L$9,6,FALSE),HLOOKUP(Results!$B$2,Inputs!$B$2:'Inputs'!$L$9,5,FALSE),PV(HLOOKUP(Results!$B$2,Inputs!$B$2:'Inputs'!$L$9,6,FALSE),10,Inputs!$B$22)))/(1-Inputs!$B$23)</f>
        <v>1.6154015728229809</v>
      </c>
      <c r="I28" s="20">
        <f>((HLOOKUP(Results!$B$2,Inputs!$B$2:$L$11,10,FALSE)/($F28*8760)+I$1/1000)*HLOOKUP(Results!$B$2,Inputs!$B$2:'Inputs'!$L$9,4,FALSE) - PMT(HLOOKUP(Results!$B$2,Inputs!$B$2:'Inputs'!$L$9,6,FALSE),HLOOKUP(Results!$B$2,Inputs!$B$2:'Inputs'!$L$9,5,FALSE),PV(HLOOKUP(Results!$B$2,Inputs!$B$2:'Inputs'!$L$9,6,FALSE),10,Inputs!$B$22)))/(1-Inputs!$B$23)</f>
        <v>1.1154015728229818</v>
      </c>
      <c r="J28" s="20">
        <f>((HLOOKUP(Results!$B$2,Inputs!$B$2:$L$11,10,FALSE)/($F28*8760)+J$1/1000)*HLOOKUP(Results!$B$2,Inputs!$B$2:'Inputs'!$L$9,4,FALSE) - PMT(HLOOKUP(Results!$B$2,Inputs!$B$2:'Inputs'!$L$9,6,FALSE),HLOOKUP(Results!$B$2,Inputs!$B$2:'Inputs'!$L$9,5,FALSE),PV(HLOOKUP(Results!$B$2,Inputs!$B$2:'Inputs'!$L$9,6,FALSE),10,Inputs!$B$22)))/(1-Inputs!$B$23)</f>
        <v>0.6154015728229818</v>
      </c>
      <c r="K28" s="20">
        <f>((HLOOKUP(Results!$B$2,Inputs!$B$2:$L$11,10,FALSE)/($F28*8760)+K$1/1000)*HLOOKUP(Results!$B$2,Inputs!$B$2:'Inputs'!$L$9,4,FALSE) - PMT(HLOOKUP(Results!$B$2,Inputs!$B$2:'Inputs'!$L$9,6,FALSE),HLOOKUP(Results!$B$2,Inputs!$B$2:'Inputs'!$L$9,5,FALSE),PV(HLOOKUP(Results!$B$2,Inputs!$B$2:'Inputs'!$L$9,6,FALSE),10,Inputs!$B$22)))/(1-Inputs!$B$23)</f>
        <v>0.11540157282298136</v>
      </c>
      <c r="L28" s="20">
        <f>((HLOOKUP(Results!$B$2,Inputs!$B$2:$L$11,10,FALSE)/($F28*8760)+L$1/1000)*HLOOKUP(Results!$B$2,Inputs!$B$2:'Inputs'!$L$9,4,FALSE) - PMT(HLOOKUP(Results!$B$2,Inputs!$B$2:'Inputs'!$L$9,6,FALSE),HLOOKUP(Results!$B$2,Inputs!$B$2:'Inputs'!$L$9,5,FALSE),PV(HLOOKUP(Results!$B$2,Inputs!$B$2:'Inputs'!$L$9,6,FALSE),10,Inputs!$B$22)))/(1-Inputs!$B$23)</f>
        <v>-0.38459842717701864</v>
      </c>
      <c r="M28" s="20">
        <f>((HLOOKUP(Results!$B$2,Inputs!$B$2:$L$11,10,FALSE)/($F28*8760)+M$1/1000)*HLOOKUP(Results!$B$2,Inputs!$B$2:'Inputs'!$L$9,4,FALSE) - PMT(HLOOKUP(Results!$B$2,Inputs!$B$2:'Inputs'!$L$9,6,FALSE),HLOOKUP(Results!$B$2,Inputs!$B$2:'Inputs'!$L$9,5,FALSE),PV(HLOOKUP(Results!$B$2,Inputs!$B$2:'Inputs'!$L$9,6,FALSE),10,Inputs!$B$22)))/(1-Inputs!$B$23)</f>
        <v>-0.88459842717701864</v>
      </c>
    </row>
    <row r="29" spans="6:13" x14ac:dyDescent="0.35">
      <c r="F29">
        <v>0.56000000000000005</v>
      </c>
      <c r="G29" s="20">
        <f>((HLOOKUP(Results!$B$2,Inputs!$B$2:$L$11,10,FALSE)/($F29*8760)+G$1/1000)*HLOOKUP(Results!$B$2,Inputs!$B$2:'Inputs'!$L$9,4,FALSE) - PMT(HLOOKUP(Results!$B$2,Inputs!$B$2:'Inputs'!$L$9,6,FALSE),HLOOKUP(Results!$B$2,Inputs!$B$2:'Inputs'!$L$9,5,FALSE),PV(HLOOKUP(Results!$B$2,Inputs!$B$2:'Inputs'!$L$9,6,FALSE),10,Inputs!$B$22)))/(1-Inputs!$B$23)</f>
        <v>2.0398515166507321</v>
      </c>
      <c r="H29" s="20">
        <f>((HLOOKUP(Results!$B$2,Inputs!$B$2:$L$11,10,FALSE)/($F29*8760)+H$1/1000)*HLOOKUP(Results!$B$2,Inputs!$B$2:'Inputs'!$L$9,4,FALSE) - PMT(HLOOKUP(Results!$B$2,Inputs!$B$2:'Inputs'!$L$9,6,FALSE),HLOOKUP(Results!$B$2,Inputs!$B$2:'Inputs'!$L$9,5,FALSE),PV(HLOOKUP(Results!$B$2,Inputs!$B$2:'Inputs'!$L$9,6,FALSE),10,Inputs!$B$22)))/(1-Inputs!$B$23)</f>
        <v>1.5398515166507321</v>
      </c>
      <c r="I29" s="20">
        <f>((HLOOKUP(Results!$B$2,Inputs!$B$2:$L$11,10,FALSE)/($F29*8760)+I$1/1000)*HLOOKUP(Results!$B$2,Inputs!$B$2:'Inputs'!$L$9,4,FALSE) - PMT(HLOOKUP(Results!$B$2,Inputs!$B$2:'Inputs'!$L$9,6,FALSE),HLOOKUP(Results!$B$2,Inputs!$B$2:'Inputs'!$L$9,5,FALSE),PV(HLOOKUP(Results!$B$2,Inputs!$B$2:'Inputs'!$L$9,6,FALSE),10,Inputs!$B$22)))/(1-Inputs!$B$23)</f>
        <v>1.0398515166507329</v>
      </c>
      <c r="J29" s="20">
        <f>((HLOOKUP(Results!$B$2,Inputs!$B$2:$L$11,10,FALSE)/($F29*8760)+J$1/1000)*HLOOKUP(Results!$B$2,Inputs!$B$2:'Inputs'!$L$9,4,FALSE) - PMT(HLOOKUP(Results!$B$2,Inputs!$B$2:'Inputs'!$L$9,6,FALSE),HLOOKUP(Results!$B$2,Inputs!$B$2:'Inputs'!$L$9,5,FALSE),PV(HLOOKUP(Results!$B$2,Inputs!$B$2:'Inputs'!$L$9,6,FALSE),10,Inputs!$B$22)))/(1-Inputs!$B$23)</f>
        <v>0.53985151665073206</v>
      </c>
      <c r="K29" s="20">
        <f>((HLOOKUP(Results!$B$2,Inputs!$B$2:$L$11,10,FALSE)/($F29*8760)+K$1/1000)*HLOOKUP(Results!$B$2,Inputs!$B$2:'Inputs'!$L$9,4,FALSE) - PMT(HLOOKUP(Results!$B$2,Inputs!$B$2:'Inputs'!$L$9,6,FALSE),HLOOKUP(Results!$B$2,Inputs!$B$2:'Inputs'!$L$9,5,FALSE),PV(HLOOKUP(Results!$B$2,Inputs!$B$2:'Inputs'!$L$9,6,FALSE),10,Inputs!$B$22)))/(1-Inputs!$B$23)</f>
        <v>3.9851516650732499E-2</v>
      </c>
      <c r="L29" s="20">
        <f>((HLOOKUP(Results!$B$2,Inputs!$B$2:$L$11,10,FALSE)/($F29*8760)+L$1/1000)*HLOOKUP(Results!$B$2,Inputs!$B$2:'Inputs'!$L$9,4,FALSE) - PMT(HLOOKUP(Results!$B$2,Inputs!$B$2:'Inputs'!$L$9,6,FALSE),HLOOKUP(Results!$B$2,Inputs!$B$2:'Inputs'!$L$9,5,FALSE),PV(HLOOKUP(Results!$B$2,Inputs!$B$2:'Inputs'!$L$9,6,FALSE),10,Inputs!$B$22)))/(1-Inputs!$B$23)</f>
        <v>-0.4601484833492675</v>
      </c>
      <c r="M29" s="20">
        <f>((HLOOKUP(Results!$B$2,Inputs!$B$2:$L$11,10,FALSE)/($F29*8760)+M$1/1000)*HLOOKUP(Results!$B$2,Inputs!$B$2:'Inputs'!$L$9,4,FALSE) - PMT(HLOOKUP(Results!$B$2,Inputs!$B$2:'Inputs'!$L$9,6,FALSE),HLOOKUP(Results!$B$2,Inputs!$B$2:'Inputs'!$L$9,5,FALSE),PV(HLOOKUP(Results!$B$2,Inputs!$B$2:'Inputs'!$L$9,6,FALSE),10,Inputs!$B$22)))/(1-Inputs!$B$23)</f>
        <v>-0.9601484833492675</v>
      </c>
    </row>
    <row r="30" spans="6:13" x14ac:dyDescent="0.35">
      <c r="F30">
        <v>0.57999999999999996</v>
      </c>
      <c r="G30" s="20">
        <f>((HLOOKUP(Results!$B$2,Inputs!$B$2:$L$11,10,FALSE)/($F30*8760)+G$1/1000)*HLOOKUP(Results!$B$2,Inputs!$B$2:'Inputs'!$L$9,4,FALSE) - PMT(HLOOKUP(Results!$B$2,Inputs!$B$2:'Inputs'!$L$9,6,FALSE),HLOOKUP(Results!$B$2,Inputs!$B$2:'Inputs'!$L$9,5,FALSE),PV(HLOOKUP(Results!$B$2,Inputs!$B$2:'Inputs'!$L$9,6,FALSE),10,Inputs!$B$22)))/(1-Inputs!$B$23)</f>
        <v>1.9695118091800174</v>
      </c>
      <c r="H30" s="20">
        <f>((HLOOKUP(Results!$B$2,Inputs!$B$2:$L$11,10,FALSE)/($F30*8760)+H$1/1000)*HLOOKUP(Results!$B$2,Inputs!$B$2:'Inputs'!$L$9,4,FALSE) - PMT(HLOOKUP(Results!$B$2,Inputs!$B$2:'Inputs'!$L$9,6,FALSE),HLOOKUP(Results!$B$2,Inputs!$B$2:'Inputs'!$L$9,5,FALSE),PV(HLOOKUP(Results!$B$2,Inputs!$B$2:'Inputs'!$L$9,6,FALSE),10,Inputs!$B$22)))/(1-Inputs!$B$23)</f>
        <v>1.4695118091800183</v>
      </c>
      <c r="I30" s="20">
        <f>((HLOOKUP(Results!$B$2,Inputs!$B$2:$L$11,10,FALSE)/($F30*8760)+I$1/1000)*HLOOKUP(Results!$B$2,Inputs!$B$2:'Inputs'!$L$9,4,FALSE) - PMT(HLOOKUP(Results!$B$2,Inputs!$B$2:'Inputs'!$L$9,6,FALSE),HLOOKUP(Results!$B$2,Inputs!$B$2:'Inputs'!$L$9,5,FALSE),PV(HLOOKUP(Results!$B$2,Inputs!$B$2:'Inputs'!$L$9,6,FALSE),10,Inputs!$B$22)))/(1-Inputs!$B$23)</f>
        <v>0.96951180918001745</v>
      </c>
      <c r="J30" s="20">
        <f>((HLOOKUP(Results!$B$2,Inputs!$B$2:$L$11,10,FALSE)/($F30*8760)+J$1/1000)*HLOOKUP(Results!$B$2,Inputs!$B$2:'Inputs'!$L$9,4,FALSE) - PMT(HLOOKUP(Results!$B$2,Inputs!$B$2:'Inputs'!$L$9,6,FALSE),HLOOKUP(Results!$B$2,Inputs!$B$2:'Inputs'!$L$9,5,FALSE),PV(HLOOKUP(Results!$B$2,Inputs!$B$2:'Inputs'!$L$9,6,FALSE),10,Inputs!$B$22)))/(1-Inputs!$B$23)</f>
        <v>0.46951180918001789</v>
      </c>
      <c r="K30" s="20">
        <f>((HLOOKUP(Results!$B$2,Inputs!$B$2:$L$11,10,FALSE)/($F30*8760)+K$1/1000)*HLOOKUP(Results!$B$2,Inputs!$B$2:'Inputs'!$L$9,4,FALSE) - PMT(HLOOKUP(Results!$B$2,Inputs!$B$2:'Inputs'!$L$9,6,FALSE),HLOOKUP(Results!$B$2,Inputs!$B$2:'Inputs'!$L$9,5,FALSE),PV(HLOOKUP(Results!$B$2,Inputs!$B$2:'Inputs'!$L$9,6,FALSE),10,Inputs!$B$22)))/(1-Inputs!$B$23)</f>
        <v>-3.0488190819982108E-2</v>
      </c>
      <c r="L30" s="20">
        <f>((HLOOKUP(Results!$B$2,Inputs!$B$2:$L$11,10,FALSE)/($F30*8760)+L$1/1000)*HLOOKUP(Results!$B$2,Inputs!$B$2:'Inputs'!$L$9,4,FALSE) - PMT(HLOOKUP(Results!$B$2,Inputs!$B$2:'Inputs'!$L$9,6,FALSE),HLOOKUP(Results!$B$2,Inputs!$B$2:'Inputs'!$L$9,5,FALSE),PV(HLOOKUP(Results!$B$2,Inputs!$B$2:'Inputs'!$L$9,6,FALSE),10,Inputs!$B$22)))/(1-Inputs!$B$23)</f>
        <v>-0.53048819081998211</v>
      </c>
      <c r="M30" s="20">
        <f>((HLOOKUP(Results!$B$2,Inputs!$B$2:$L$11,10,FALSE)/($F30*8760)+M$1/1000)*HLOOKUP(Results!$B$2,Inputs!$B$2:'Inputs'!$L$9,4,FALSE) - PMT(HLOOKUP(Results!$B$2,Inputs!$B$2:'Inputs'!$L$9,6,FALSE),HLOOKUP(Results!$B$2,Inputs!$B$2:'Inputs'!$L$9,5,FALSE),PV(HLOOKUP(Results!$B$2,Inputs!$B$2:'Inputs'!$L$9,6,FALSE),10,Inputs!$B$22)))/(1-Inputs!$B$23)</f>
        <v>-1.0304881908199821</v>
      </c>
    </row>
    <row r="31" spans="6:13" x14ac:dyDescent="0.35">
      <c r="F31">
        <v>0.6</v>
      </c>
      <c r="G31" s="20">
        <f>((HLOOKUP(Results!$B$2,Inputs!$B$2:$L$11,10,FALSE)/($F31*8760)+G$1/1000)*HLOOKUP(Results!$B$2,Inputs!$B$2:'Inputs'!$L$9,4,FALSE) - PMT(HLOOKUP(Results!$B$2,Inputs!$B$2:'Inputs'!$L$9,6,FALSE),HLOOKUP(Results!$B$2,Inputs!$B$2:'Inputs'!$L$9,5,FALSE),PV(HLOOKUP(Results!$B$2,Inputs!$B$2:'Inputs'!$L$9,6,FALSE),10,Inputs!$B$22)))/(1-Inputs!$B$23)</f>
        <v>1.9038614155406832</v>
      </c>
      <c r="H31" s="20">
        <f>((HLOOKUP(Results!$B$2,Inputs!$B$2:$L$11,10,FALSE)/($F31*8760)+H$1/1000)*HLOOKUP(Results!$B$2,Inputs!$B$2:'Inputs'!$L$9,4,FALSE) - PMT(HLOOKUP(Results!$B$2,Inputs!$B$2:'Inputs'!$L$9,6,FALSE),HLOOKUP(Results!$B$2,Inputs!$B$2:'Inputs'!$L$9,5,FALSE),PV(HLOOKUP(Results!$B$2,Inputs!$B$2:'Inputs'!$L$9,6,FALSE),10,Inputs!$B$22)))/(1-Inputs!$B$23)</f>
        <v>1.4038614155406841</v>
      </c>
      <c r="I31" s="20">
        <f>((HLOOKUP(Results!$B$2,Inputs!$B$2:$L$11,10,FALSE)/($F31*8760)+I$1/1000)*HLOOKUP(Results!$B$2,Inputs!$B$2:'Inputs'!$L$9,4,FALSE) - PMT(HLOOKUP(Results!$B$2,Inputs!$B$2:'Inputs'!$L$9,6,FALSE),HLOOKUP(Results!$B$2,Inputs!$B$2:'Inputs'!$L$9,5,FALSE),PV(HLOOKUP(Results!$B$2,Inputs!$B$2:'Inputs'!$L$9,6,FALSE),10,Inputs!$B$22)))/(1-Inputs!$B$23)</f>
        <v>0.90386141554068367</v>
      </c>
      <c r="J31" s="20">
        <f>((HLOOKUP(Results!$B$2,Inputs!$B$2:$L$11,10,FALSE)/($F31*8760)+J$1/1000)*HLOOKUP(Results!$B$2,Inputs!$B$2:'Inputs'!$L$9,4,FALSE) - PMT(HLOOKUP(Results!$B$2,Inputs!$B$2:'Inputs'!$L$9,6,FALSE),HLOOKUP(Results!$B$2,Inputs!$B$2:'Inputs'!$L$9,5,FALSE),PV(HLOOKUP(Results!$B$2,Inputs!$B$2:'Inputs'!$L$9,6,FALSE),10,Inputs!$B$22)))/(1-Inputs!$B$23)</f>
        <v>0.40386141554068322</v>
      </c>
      <c r="K31" s="20">
        <f>((HLOOKUP(Results!$B$2,Inputs!$B$2:$L$11,10,FALSE)/($F31*8760)+K$1/1000)*HLOOKUP(Results!$B$2,Inputs!$B$2:'Inputs'!$L$9,4,FALSE) - PMT(HLOOKUP(Results!$B$2,Inputs!$B$2:'Inputs'!$L$9,6,FALSE),HLOOKUP(Results!$B$2,Inputs!$B$2:'Inputs'!$L$9,5,FALSE),PV(HLOOKUP(Results!$B$2,Inputs!$B$2:'Inputs'!$L$9,6,FALSE),10,Inputs!$B$22)))/(1-Inputs!$B$23)</f>
        <v>-9.6138584459316778E-2</v>
      </c>
      <c r="L31" s="20">
        <f>((HLOOKUP(Results!$B$2,Inputs!$B$2:$L$11,10,FALSE)/($F31*8760)+L$1/1000)*HLOOKUP(Results!$B$2,Inputs!$B$2:'Inputs'!$L$9,4,FALSE) - PMT(HLOOKUP(Results!$B$2,Inputs!$B$2:'Inputs'!$L$9,6,FALSE),HLOOKUP(Results!$B$2,Inputs!$B$2:'Inputs'!$L$9,5,FALSE),PV(HLOOKUP(Results!$B$2,Inputs!$B$2:'Inputs'!$L$9,6,FALSE),10,Inputs!$B$22)))/(1-Inputs!$B$23)</f>
        <v>-0.59613858445931633</v>
      </c>
      <c r="M31" s="20">
        <f>((HLOOKUP(Results!$B$2,Inputs!$B$2:$L$11,10,FALSE)/($F31*8760)+M$1/1000)*HLOOKUP(Results!$B$2,Inputs!$B$2:'Inputs'!$L$9,4,FALSE) - PMT(HLOOKUP(Results!$B$2,Inputs!$B$2:'Inputs'!$L$9,6,FALSE),HLOOKUP(Results!$B$2,Inputs!$B$2:'Inputs'!$L$9,5,FALSE),PV(HLOOKUP(Results!$B$2,Inputs!$B$2:'Inputs'!$L$9,6,FALSE),10,Inputs!$B$22)))/(1-Inputs!$B$23)</f>
        <v>-1.0961385844593166</v>
      </c>
    </row>
    <row r="32" spans="6:13" x14ac:dyDescent="0.35">
      <c r="F32">
        <v>0.62</v>
      </c>
      <c r="G32" s="20">
        <f>((HLOOKUP(Results!$B$2,Inputs!$B$2:$L$11,10,FALSE)/($F32*8760)+G$1/1000)*HLOOKUP(Results!$B$2,Inputs!$B$2:'Inputs'!$L$9,4,FALSE) - PMT(HLOOKUP(Results!$B$2,Inputs!$B$2:'Inputs'!$L$9,6,FALSE),HLOOKUP(Results!$B$2,Inputs!$B$2:'Inputs'!$L$9,5,FALSE),PV(HLOOKUP(Results!$B$2,Inputs!$B$2:'Inputs'!$L$9,6,FALSE),10,Inputs!$B$22)))/(1-Inputs!$B$23)</f>
        <v>1.8424465311684037</v>
      </c>
      <c r="H32" s="20">
        <f>((HLOOKUP(Results!$B$2,Inputs!$B$2:$L$11,10,FALSE)/($F32*8760)+H$1/1000)*HLOOKUP(Results!$B$2,Inputs!$B$2:'Inputs'!$L$9,4,FALSE) - PMT(HLOOKUP(Results!$B$2,Inputs!$B$2:'Inputs'!$L$9,6,FALSE),HLOOKUP(Results!$B$2,Inputs!$B$2:'Inputs'!$L$9,5,FALSE),PV(HLOOKUP(Results!$B$2,Inputs!$B$2:'Inputs'!$L$9,6,FALSE),10,Inputs!$B$22)))/(1-Inputs!$B$23)</f>
        <v>1.3424465311684037</v>
      </c>
      <c r="I32" s="20">
        <f>((HLOOKUP(Results!$B$2,Inputs!$B$2:$L$11,10,FALSE)/($F32*8760)+I$1/1000)*HLOOKUP(Results!$B$2,Inputs!$B$2:'Inputs'!$L$9,4,FALSE) - PMT(HLOOKUP(Results!$B$2,Inputs!$B$2:'Inputs'!$L$9,6,FALSE),HLOOKUP(Results!$B$2,Inputs!$B$2:'Inputs'!$L$9,5,FALSE),PV(HLOOKUP(Results!$B$2,Inputs!$B$2:'Inputs'!$L$9,6,FALSE),10,Inputs!$B$22)))/(1-Inputs!$B$23)</f>
        <v>0.84244653116840418</v>
      </c>
      <c r="J32" s="20">
        <f>((HLOOKUP(Results!$B$2,Inputs!$B$2:$L$11,10,FALSE)/($F32*8760)+J$1/1000)*HLOOKUP(Results!$B$2,Inputs!$B$2:'Inputs'!$L$9,4,FALSE) - PMT(HLOOKUP(Results!$B$2,Inputs!$B$2:'Inputs'!$L$9,6,FALSE),HLOOKUP(Results!$B$2,Inputs!$B$2:'Inputs'!$L$9,5,FALSE),PV(HLOOKUP(Results!$B$2,Inputs!$B$2:'Inputs'!$L$9,6,FALSE),10,Inputs!$B$22)))/(1-Inputs!$B$23)</f>
        <v>0.34244653116840373</v>
      </c>
      <c r="K32" s="20">
        <f>((HLOOKUP(Results!$B$2,Inputs!$B$2:$L$11,10,FALSE)/($F32*8760)+K$1/1000)*HLOOKUP(Results!$B$2,Inputs!$B$2:'Inputs'!$L$9,4,FALSE) - PMT(HLOOKUP(Results!$B$2,Inputs!$B$2:'Inputs'!$L$9,6,FALSE),HLOOKUP(Results!$B$2,Inputs!$B$2:'Inputs'!$L$9,5,FALSE),PV(HLOOKUP(Results!$B$2,Inputs!$B$2:'Inputs'!$L$9,6,FALSE),10,Inputs!$B$22)))/(1-Inputs!$B$23)</f>
        <v>-0.15755346883159627</v>
      </c>
      <c r="L32" s="20">
        <f>((HLOOKUP(Results!$B$2,Inputs!$B$2:$L$11,10,FALSE)/($F32*8760)+L$1/1000)*HLOOKUP(Results!$B$2,Inputs!$B$2:'Inputs'!$L$9,4,FALSE) - PMT(HLOOKUP(Results!$B$2,Inputs!$B$2:'Inputs'!$L$9,6,FALSE),HLOOKUP(Results!$B$2,Inputs!$B$2:'Inputs'!$L$9,5,FALSE),PV(HLOOKUP(Results!$B$2,Inputs!$B$2:'Inputs'!$L$9,6,FALSE),10,Inputs!$B$22)))/(1-Inputs!$B$23)</f>
        <v>-0.65755346883159627</v>
      </c>
      <c r="M32" s="20">
        <f>((HLOOKUP(Results!$B$2,Inputs!$B$2:$L$11,10,FALSE)/($F32*8760)+M$1/1000)*HLOOKUP(Results!$B$2,Inputs!$B$2:'Inputs'!$L$9,4,FALSE) - PMT(HLOOKUP(Results!$B$2,Inputs!$B$2:'Inputs'!$L$9,6,FALSE),HLOOKUP(Results!$B$2,Inputs!$B$2:'Inputs'!$L$9,5,FALSE),PV(HLOOKUP(Results!$B$2,Inputs!$B$2:'Inputs'!$L$9,6,FALSE),10,Inputs!$B$22)))/(1-Inputs!$B$23)</f>
        <v>-1.1575534688315963</v>
      </c>
    </row>
    <row r="33" spans="6:13" x14ac:dyDescent="0.35">
      <c r="F33">
        <v>0.64</v>
      </c>
      <c r="G33" s="20">
        <f>((HLOOKUP(Results!$B$2,Inputs!$B$2:$L$11,10,FALSE)/($F33*8760)+G$1/1000)*HLOOKUP(Results!$B$2,Inputs!$B$2:'Inputs'!$L$9,4,FALSE) - PMT(HLOOKUP(Results!$B$2,Inputs!$B$2:'Inputs'!$L$9,6,FALSE),HLOOKUP(Results!$B$2,Inputs!$B$2:'Inputs'!$L$9,5,FALSE),PV(HLOOKUP(Results!$B$2,Inputs!$B$2:'Inputs'!$L$9,6,FALSE),10,Inputs!$B$22)))/(1-Inputs!$B$23)</f>
        <v>1.7848700770693902</v>
      </c>
      <c r="H33" s="20">
        <f>((HLOOKUP(Results!$B$2,Inputs!$B$2:$L$11,10,FALSE)/($F33*8760)+H$1/1000)*HLOOKUP(Results!$B$2,Inputs!$B$2:'Inputs'!$L$9,4,FALSE) - PMT(HLOOKUP(Results!$B$2,Inputs!$B$2:'Inputs'!$L$9,6,FALSE),HLOOKUP(Results!$B$2,Inputs!$B$2:'Inputs'!$L$9,5,FALSE),PV(HLOOKUP(Results!$B$2,Inputs!$B$2:'Inputs'!$L$9,6,FALSE),10,Inputs!$B$22)))/(1-Inputs!$B$23)</f>
        <v>1.284870077069391</v>
      </c>
      <c r="I33" s="20">
        <f>((HLOOKUP(Results!$B$2,Inputs!$B$2:$L$11,10,FALSE)/($F33*8760)+I$1/1000)*HLOOKUP(Results!$B$2,Inputs!$B$2:'Inputs'!$L$9,4,FALSE) - PMT(HLOOKUP(Results!$B$2,Inputs!$B$2:'Inputs'!$L$9,6,FALSE),HLOOKUP(Results!$B$2,Inputs!$B$2:'Inputs'!$L$9,5,FALSE),PV(HLOOKUP(Results!$B$2,Inputs!$B$2:'Inputs'!$L$9,6,FALSE),10,Inputs!$B$22)))/(1-Inputs!$B$23)</f>
        <v>0.7848700770693906</v>
      </c>
      <c r="J33" s="20">
        <f>((HLOOKUP(Results!$B$2,Inputs!$B$2:$L$11,10,FALSE)/($F33*8760)+J$1/1000)*HLOOKUP(Results!$B$2,Inputs!$B$2:'Inputs'!$L$9,4,FALSE) - PMT(HLOOKUP(Results!$B$2,Inputs!$B$2:'Inputs'!$L$9,6,FALSE),HLOOKUP(Results!$B$2,Inputs!$B$2:'Inputs'!$L$9,5,FALSE),PV(HLOOKUP(Results!$B$2,Inputs!$B$2:'Inputs'!$L$9,6,FALSE),10,Inputs!$B$22)))/(1-Inputs!$B$23)</f>
        <v>0.28487007706939016</v>
      </c>
      <c r="K33" s="20">
        <f>((HLOOKUP(Results!$B$2,Inputs!$B$2:$L$11,10,FALSE)/($F33*8760)+K$1/1000)*HLOOKUP(Results!$B$2,Inputs!$B$2:'Inputs'!$L$9,4,FALSE) - PMT(HLOOKUP(Results!$B$2,Inputs!$B$2:'Inputs'!$L$9,6,FALSE),HLOOKUP(Results!$B$2,Inputs!$B$2:'Inputs'!$L$9,5,FALSE),PV(HLOOKUP(Results!$B$2,Inputs!$B$2:'Inputs'!$L$9,6,FALSE),10,Inputs!$B$22)))/(1-Inputs!$B$23)</f>
        <v>-0.2151299229306094</v>
      </c>
      <c r="L33" s="20">
        <f>((HLOOKUP(Results!$B$2,Inputs!$B$2:$L$11,10,FALSE)/($F33*8760)+L$1/1000)*HLOOKUP(Results!$B$2,Inputs!$B$2:'Inputs'!$L$9,4,FALSE) - PMT(HLOOKUP(Results!$B$2,Inputs!$B$2:'Inputs'!$L$9,6,FALSE),HLOOKUP(Results!$B$2,Inputs!$B$2:'Inputs'!$L$9,5,FALSE),PV(HLOOKUP(Results!$B$2,Inputs!$B$2:'Inputs'!$L$9,6,FALSE),10,Inputs!$B$22)))/(1-Inputs!$B$23)</f>
        <v>-0.7151299229306094</v>
      </c>
      <c r="M33" s="20">
        <f>((HLOOKUP(Results!$B$2,Inputs!$B$2:$L$11,10,FALSE)/($F33*8760)+M$1/1000)*HLOOKUP(Results!$B$2,Inputs!$B$2:'Inputs'!$L$9,4,FALSE) - PMT(HLOOKUP(Results!$B$2,Inputs!$B$2:'Inputs'!$L$9,6,FALSE),HLOOKUP(Results!$B$2,Inputs!$B$2:'Inputs'!$L$9,5,FALSE),PV(HLOOKUP(Results!$B$2,Inputs!$B$2:'Inputs'!$L$9,6,FALSE),10,Inputs!$B$22)))/(1-Inputs!$B$23)</f>
        <v>-1.2151299229306094</v>
      </c>
    </row>
    <row r="34" spans="6:13" x14ac:dyDescent="0.35">
      <c r="F34">
        <v>0.66</v>
      </c>
      <c r="G34" s="20">
        <f>((HLOOKUP(Results!$B$2,Inputs!$B$2:$L$11,10,FALSE)/($F34*8760)+G$1/1000)*HLOOKUP(Results!$B$2,Inputs!$B$2:'Inputs'!$L$9,4,FALSE) - PMT(HLOOKUP(Results!$B$2,Inputs!$B$2:'Inputs'!$L$9,6,FALSE),HLOOKUP(Results!$B$2,Inputs!$B$2:'Inputs'!$L$9,5,FALSE),PV(HLOOKUP(Results!$B$2,Inputs!$B$2:'Inputs'!$L$9,6,FALSE),10,Inputs!$B$22)))/(1-Inputs!$B$23)</f>
        <v>1.7307831050369855</v>
      </c>
      <c r="H34" s="20">
        <f>((HLOOKUP(Results!$B$2,Inputs!$B$2:$L$11,10,FALSE)/($F34*8760)+H$1/1000)*HLOOKUP(Results!$B$2,Inputs!$B$2:'Inputs'!$L$9,4,FALSE) - PMT(HLOOKUP(Results!$B$2,Inputs!$B$2:'Inputs'!$L$9,6,FALSE),HLOOKUP(Results!$B$2,Inputs!$B$2:'Inputs'!$L$9,5,FALSE),PV(HLOOKUP(Results!$B$2,Inputs!$B$2:'Inputs'!$L$9,6,FALSE),10,Inputs!$B$22)))/(1-Inputs!$B$23)</f>
        <v>1.2307831050369846</v>
      </c>
      <c r="I34" s="20">
        <f>((HLOOKUP(Results!$B$2,Inputs!$B$2:$L$11,10,FALSE)/($F34*8760)+I$1/1000)*HLOOKUP(Results!$B$2,Inputs!$B$2:'Inputs'!$L$9,4,FALSE) - PMT(HLOOKUP(Results!$B$2,Inputs!$B$2:'Inputs'!$L$9,6,FALSE),HLOOKUP(Results!$B$2,Inputs!$B$2:'Inputs'!$L$9,5,FALSE),PV(HLOOKUP(Results!$B$2,Inputs!$B$2:'Inputs'!$L$9,6,FALSE),10,Inputs!$B$22)))/(1-Inputs!$B$23)</f>
        <v>0.73078310503698507</v>
      </c>
      <c r="J34" s="20">
        <f>((HLOOKUP(Results!$B$2,Inputs!$B$2:$L$11,10,FALSE)/($F34*8760)+J$1/1000)*HLOOKUP(Results!$B$2,Inputs!$B$2:'Inputs'!$L$9,4,FALSE) - PMT(HLOOKUP(Results!$B$2,Inputs!$B$2:'Inputs'!$L$9,6,FALSE),HLOOKUP(Results!$B$2,Inputs!$B$2:'Inputs'!$L$9,5,FALSE),PV(HLOOKUP(Results!$B$2,Inputs!$B$2:'Inputs'!$L$9,6,FALSE),10,Inputs!$B$22)))/(1-Inputs!$B$23)</f>
        <v>0.23078310503698507</v>
      </c>
      <c r="K34" s="20">
        <f>((HLOOKUP(Results!$B$2,Inputs!$B$2:$L$11,10,FALSE)/($F34*8760)+K$1/1000)*HLOOKUP(Results!$B$2,Inputs!$B$2:'Inputs'!$L$9,4,FALSE) - PMT(HLOOKUP(Results!$B$2,Inputs!$B$2:'Inputs'!$L$9,6,FALSE),HLOOKUP(Results!$B$2,Inputs!$B$2:'Inputs'!$L$9,5,FALSE),PV(HLOOKUP(Results!$B$2,Inputs!$B$2:'Inputs'!$L$9,6,FALSE),10,Inputs!$B$22)))/(1-Inputs!$B$23)</f>
        <v>-0.26921689496301537</v>
      </c>
      <c r="L34" s="20">
        <f>((HLOOKUP(Results!$B$2,Inputs!$B$2:$L$11,10,FALSE)/($F34*8760)+L$1/1000)*HLOOKUP(Results!$B$2,Inputs!$B$2:'Inputs'!$L$9,4,FALSE) - PMT(HLOOKUP(Results!$B$2,Inputs!$B$2:'Inputs'!$L$9,6,FALSE),HLOOKUP(Results!$B$2,Inputs!$B$2:'Inputs'!$L$9,5,FALSE),PV(HLOOKUP(Results!$B$2,Inputs!$B$2:'Inputs'!$L$9,6,FALSE),10,Inputs!$B$22)))/(1-Inputs!$B$23)</f>
        <v>-0.76921689496301493</v>
      </c>
      <c r="M34" s="20">
        <f>((HLOOKUP(Results!$B$2,Inputs!$B$2:$L$11,10,FALSE)/($F34*8760)+M$1/1000)*HLOOKUP(Results!$B$2,Inputs!$B$2:'Inputs'!$L$9,4,FALSE) - PMT(HLOOKUP(Results!$B$2,Inputs!$B$2:'Inputs'!$L$9,6,FALSE),HLOOKUP(Results!$B$2,Inputs!$B$2:'Inputs'!$L$9,5,FALSE),PV(HLOOKUP(Results!$B$2,Inputs!$B$2:'Inputs'!$L$9,6,FALSE),10,Inputs!$B$22)))/(1-Inputs!$B$23)</f>
        <v>-1.2692168949630152</v>
      </c>
    </row>
    <row r="35" spans="6:13" x14ac:dyDescent="0.35">
      <c r="F35">
        <v>0.68</v>
      </c>
      <c r="G35" s="20">
        <f>((HLOOKUP(Results!$B$2,Inputs!$B$2:$L$11,10,FALSE)/($F35*8760)+G$1/1000)*HLOOKUP(Results!$B$2,Inputs!$B$2:'Inputs'!$L$9,4,FALSE) - PMT(HLOOKUP(Results!$B$2,Inputs!$B$2:'Inputs'!$L$9,6,FALSE),HLOOKUP(Results!$B$2,Inputs!$B$2:'Inputs'!$L$9,5,FALSE),PV(HLOOKUP(Results!$B$2,Inputs!$B$2:'Inputs'!$L$9,6,FALSE),10,Inputs!$B$22)))/(1-Inputs!$B$23)</f>
        <v>1.6798777195947205</v>
      </c>
      <c r="H35" s="20">
        <f>((HLOOKUP(Results!$B$2,Inputs!$B$2:$L$11,10,FALSE)/($F35*8760)+H$1/1000)*HLOOKUP(Results!$B$2,Inputs!$B$2:'Inputs'!$L$9,4,FALSE) - PMT(HLOOKUP(Results!$B$2,Inputs!$B$2:'Inputs'!$L$9,6,FALSE),HLOOKUP(Results!$B$2,Inputs!$B$2:'Inputs'!$L$9,5,FALSE),PV(HLOOKUP(Results!$B$2,Inputs!$B$2:'Inputs'!$L$9,6,FALSE),10,Inputs!$B$22)))/(1-Inputs!$B$23)</f>
        <v>1.1798777195947205</v>
      </c>
      <c r="I35" s="20">
        <f>((HLOOKUP(Results!$B$2,Inputs!$B$2:$L$11,10,FALSE)/($F35*8760)+I$1/1000)*HLOOKUP(Results!$B$2,Inputs!$B$2:'Inputs'!$L$9,4,FALSE) - PMT(HLOOKUP(Results!$B$2,Inputs!$B$2:'Inputs'!$L$9,6,FALSE),HLOOKUP(Results!$B$2,Inputs!$B$2:'Inputs'!$L$9,5,FALSE),PV(HLOOKUP(Results!$B$2,Inputs!$B$2:'Inputs'!$L$9,6,FALSE),10,Inputs!$B$22)))/(1-Inputs!$B$23)</f>
        <v>0.67987771959472054</v>
      </c>
      <c r="J35" s="20">
        <f>((HLOOKUP(Results!$B$2,Inputs!$B$2:$L$11,10,FALSE)/($F35*8760)+J$1/1000)*HLOOKUP(Results!$B$2,Inputs!$B$2:'Inputs'!$L$9,4,FALSE) - PMT(HLOOKUP(Results!$B$2,Inputs!$B$2:'Inputs'!$L$9,6,FALSE),HLOOKUP(Results!$B$2,Inputs!$B$2:'Inputs'!$L$9,5,FALSE),PV(HLOOKUP(Results!$B$2,Inputs!$B$2:'Inputs'!$L$9,6,FALSE),10,Inputs!$B$22)))/(1-Inputs!$B$23)</f>
        <v>0.17987771959472054</v>
      </c>
      <c r="K35" s="20">
        <f>((HLOOKUP(Results!$B$2,Inputs!$B$2:$L$11,10,FALSE)/($F35*8760)+K$1/1000)*HLOOKUP(Results!$B$2,Inputs!$B$2:'Inputs'!$L$9,4,FALSE) - PMT(HLOOKUP(Results!$B$2,Inputs!$B$2:'Inputs'!$L$9,6,FALSE),HLOOKUP(Results!$B$2,Inputs!$B$2:'Inputs'!$L$9,5,FALSE),PV(HLOOKUP(Results!$B$2,Inputs!$B$2:'Inputs'!$L$9,6,FALSE),10,Inputs!$B$22)))/(1-Inputs!$B$23)</f>
        <v>-0.32012228040527901</v>
      </c>
      <c r="L35" s="20">
        <f>((HLOOKUP(Results!$B$2,Inputs!$B$2:$L$11,10,FALSE)/($F35*8760)+L$1/1000)*HLOOKUP(Results!$B$2,Inputs!$B$2:'Inputs'!$L$9,4,FALSE) - PMT(HLOOKUP(Results!$B$2,Inputs!$B$2:'Inputs'!$L$9,6,FALSE),HLOOKUP(Results!$B$2,Inputs!$B$2:'Inputs'!$L$9,5,FALSE),PV(HLOOKUP(Results!$B$2,Inputs!$B$2:'Inputs'!$L$9,6,FALSE),10,Inputs!$B$22)))/(1-Inputs!$B$23)</f>
        <v>-0.82012228040527946</v>
      </c>
      <c r="M35" s="20">
        <f>((HLOOKUP(Results!$B$2,Inputs!$B$2:$L$11,10,FALSE)/($F35*8760)+M$1/1000)*HLOOKUP(Results!$B$2,Inputs!$B$2:'Inputs'!$L$9,4,FALSE) - PMT(HLOOKUP(Results!$B$2,Inputs!$B$2:'Inputs'!$L$9,6,FALSE),HLOOKUP(Results!$B$2,Inputs!$B$2:'Inputs'!$L$9,5,FALSE),PV(HLOOKUP(Results!$B$2,Inputs!$B$2:'Inputs'!$L$9,6,FALSE),10,Inputs!$B$22)))/(1-Inputs!$B$23)</f>
        <v>-1.3201222804052795</v>
      </c>
    </row>
    <row r="36" spans="6:13" x14ac:dyDescent="0.35">
      <c r="F36">
        <v>0.7</v>
      </c>
      <c r="G36" s="20">
        <f>((HLOOKUP(Results!$B$2,Inputs!$B$2:$L$11,10,FALSE)/($F36*8760)+G$1/1000)*HLOOKUP(Results!$B$2,Inputs!$B$2:'Inputs'!$L$9,4,FALSE) - PMT(HLOOKUP(Results!$B$2,Inputs!$B$2:'Inputs'!$L$9,6,FALSE),HLOOKUP(Results!$B$2,Inputs!$B$2:'Inputs'!$L$9,5,FALSE),PV(HLOOKUP(Results!$B$2,Inputs!$B$2:'Inputs'!$L$9,6,FALSE),10,Inputs!$B$22)))/(1-Inputs!$B$23)</f>
        <v>1.6318812133205856</v>
      </c>
      <c r="H36" s="20">
        <f>((HLOOKUP(Results!$B$2,Inputs!$B$2:$L$11,10,FALSE)/($F36*8760)+H$1/1000)*HLOOKUP(Results!$B$2,Inputs!$B$2:'Inputs'!$L$9,4,FALSE) - PMT(HLOOKUP(Results!$B$2,Inputs!$B$2:'Inputs'!$L$9,6,FALSE),HLOOKUP(Results!$B$2,Inputs!$B$2:'Inputs'!$L$9,5,FALSE),PV(HLOOKUP(Results!$B$2,Inputs!$B$2:'Inputs'!$L$9,6,FALSE),10,Inputs!$B$22)))/(1-Inputs!$B$23)</f>
        <v>1.1318812133205856</v>
      </c>
      <c r="I36" s="20">
        <f>((HLOOKUP(Results!$B$2,Inputs!$B$2:$L$11,10,FALSE)/($F36*8760)+I$1/1000)*HLOOKUP(Results!$B$2,Inputs!$B$2:'Inputs'!$L$9,4,FALSE) - PMT(HLOOKUP(Results!$B$2,Inputs!$B$2:'Inputs'!$L$9,6,FALSE),HLOOKUP(Results!$B$2,Inputs!$B$2:'Inputs'!$L$9,5,FALSE),PV(HLOOKUP(Results!$B$2,Inputs!$B$2:'Inputs'!$L$9,6,FALSE),10,Inputs!$B$22)))/(1-Inputs!$B$23)</f>
        <v>0.63188121332058556</v>
      </c>
      <c r="J36" s="20">
        <f>((HLOOKUP(Results!$B$2,Inputs!$B$2:$L$11,10,FALSE)/($F36*8760)+J$1/1000)*HLOOKUP(Results!$B$2,Inputs!$B$2:'Inputs'!$L$9,4,FALSE) - PMT(HLOOKUP(Results!$B$2,Inputs!$B$2:'Inputs'!$L$9,6,FALSE),HLOOKUP(Results!$B$2,Inputs!$B$2:'Inputs'!$L$9,5,FALSE),PV(HLOOKUP(Results!$B$2,Inputs!$B$2:'Inputs'!$L$9,6,FALSE),10,Inputs!$B$22)))/(1-Inputs!$B$23)</f>
        <v>0.131881213320586</v>
      </c>
      <c r="K36" s="20">
        <f>((HLOOKUP(Results!$B$2,Inputs!$B$2:$L$11,10,FALSE)/($F36*8760)+K$1/1000)*HLOOKUP(Results!$B$2,Inputs!$B$2:'Inputs'!$L$9,4,FALSE) - PMT(HLOOKUP(Results!$B$2,Inputs!$B$2:'Inputs'!$L$9,6,FALSE),HLOOKUP(Results!$B$2,Inputs!$B$2:'Inputs'!$L$9,5,FALSE),PV(HLOOKUP(Results!$B$2,Inputs!$B$2:'Inputs'!$L$9,6,FALSE),10,Inputs!$B$22)))/(1-Inputs!$B$23)</f>
        <v>-0.36811878667941444</v>
      </c>
      <c r="L36" s="20">
        <f>((HLOOKUP(Results!$B$2,Inputs!$B$2:$L$11,10,FALSE)/($F36*8760)+L$1/1000)*HLOOKUP(Results!$B$2,Inputs!$B$2:'Inputs'!$L$9,4,FALSE) - PMT(HLOOKUP(Results!$B$2,Inputs!$B$2:'Inputs'!$L$9,6,FALSE),HLOOKUP(Results!$B$2,Inputs!$B$2:'Inputs'!$L$9,5,FALSE),PV(HLOOKUP(Results!$B$2,Inputs!$B$2:'Inputs'!$L$9,6,FALSE),10,Inputs!$B$22)))/(1-Inputs!$B$23)</f>
        <v>-0.868118786679414</v>
      </c>
      <c r="M36" s="20">
        <f>((HLOOKUP(Results!$B$2,Inputs!$B$2:$L$11,10,FALSE)/($F36*8760)+M$1/1000)*HLOOKUP(Results!$B$2,Inputs!$B$2:'Inputs'!$L$9,4,FALSE) - PMT(HLOOKUP(Results!$B$2,Inputs!$B$2:'Inputs'!$L$9,6,FALSE),HLOOKUP(Results!$B$2,Inputs!$B$2:'Inputs'!$L$9,5,FALSE),PV(HLOOKUP(Results!$B$2,Inputs!$B$2:'Inputs'!$L$9,6,FALSE),10,Inputs!$B$22)))/(1-Inputs!$B$23)</f>
        <v>-1.3681187866794142</v>
      </c>
    </row>
    <row r="37" spans="6:13" x14ac:dyDescent="0.35">
      <c r="F37">
        <v>0.72</v>
      </c>
      <c r="G37" s="20">
        <f>((HLOOKUP(Results!$B$2,Inputs!$B$2:$L$11,10,FALSE)/($F37*8760)+G$1/1000)*HLOOKUP(Results!$B$2,Inputs!$B$2:'Inputs'!$L$9,4,FALSE) - PMT(HLOOKUP(Results!$B$2,Inputs!$B$2:'Inputs'!$L$9,6,FALSE),HLOOKUP(Results!$B$2,Inputs!$B$2:'Inputs'!$L$9,5,FALSE),PV(HLOOKUP(Results!$B$2,Inputs!$B$2:'Inputs'!$L$9,6,FALSE),10,Inputs!$B$22)))/(1-Inputs!$B$23)</f>
        <v>1.5865511796172354</v>
      </c>
      <c r="H37" s="20">
        <f>((HLOOKUP(Results!$B$2,Inputs!$B$2:$L$11,10,FALSE)/($F37*8760)+H$1/1000)*HLOOKUP(Results!$B$2,Inputs!$B$2:'Inputs'!$L$9,4,FALSE) - PMT(HLOOKUP(Results!$B$2,Inputs!$B$2:'Inputs'!$L$9,6,FALSE),HLOOKUP(Results!$B$2,Inputs!$B$2:'Inputs'!$L$9,5,FALSE),PV(HLOOKUP(Results!$B$2,Inputs!$B$2:'Inputs'!$L$9,6,FALSE),10,Inputs!$B$22)))/(1-Inputs!$B$23)</f>
        <v>1.0865511796172362</v>
      </c>
      <c r="I37" s="20">
        <f>((HLOOKUP(Results!$B$2,Inputs!$B$2:$L$11,10,FALSE)/($F37*8760)+I$1/1000)*HLOOKUP(Results!$B$2,Inputs!$B$2:'Inputs'!$L$9,4,FALSE) - PMT(HLOOKUP(Results!$B$2,Inputs!$B$2:'Inputs'!$L$9,6,FALSE),HLOOKUP(Results!$B$2,Inputs!$B$2:'Inputs'!$L$9,5,FALSE),PV(HLOOKUP(Results!$B$2,Inputs!$B$2:'Inputs'!$L$9,6,FALSE),10,Inputs!$B$22)))/(1-Inputs!$B$23)</f>
        <v>0.58655117961723624</v>
      </c>
      <c r="J37" s="20">
        <f>((HLOOKUP(Results!$B$2,Inputs!$B$2:$L$11,10,FALSE)/($F37*8760)+J$1/1000)*HLOOKUP(Results!$B$2,Inputs!$B$2:'Inputs'!$L$9,4,FALSE) - PMT(HLOOKUP(Results!$B$2,Inputs!$B$2:'Inputs'!$L$9,6,FALSE),HLOOKUP(Results!$B$2,Inputs!$B$2:'Inputs'!$L$9,5,FALSE),PV(HLOOKUP(Results!$B$2,Inputs!$B$2:'Inputs'!$L$9,6,FALSE),10,Inputs!$B$22)))/(1-Inputs!$B$23)</f>
        <v>8.655117961723624E-2</v>
      </c>
      <c r="K37" s="20">
        <f>((HLOOKUP(Results!$B$2,Inputs!$B$2:$L$11,10,FALSE)/($F37*8760)+K$1/1000)*HLOOKUP(Results!$B$2,Inputs!$B$2:'Inputs'!$L$9,4,FALSE) - PMT(HLOOKUP(Results!$B$2,Inputs!$B$2:'Inputs'!$L$9,6,FALSE),HLOOKUP(Results!$B$2,Inputs!$B$2:'Inputs'!$L$9,5,FALSE),PV(HLOOKUP(Results!$B$2,Inputs!$B$2:'Inputs'!$L$9,6,FALSE),10,Inputs!$B$22)))/(1-Inputs!$B$23)</f>
        <v>-0.41344882038276376</v>
      </c>
      <c r="L37" s="20">
        <f>((HLOOKUP(Results!$B$2,Inputs!$B$2:$L$11,10,FALSE)/($F37*8760)+L$1/1000)*HLOOKUP(Results!$B$2,Inputs!$B$2:'Inputs'!$L$9,4,FALSE) - PMT(HLOOKUP(Results!$B$2,Inputs!$B$2:'Inputs'!$L$9,6,FALSE),HLOOKUP(Results!$B$2,Inputs!$B$2:'Inputs'!$L$9,5,FALSE),PV(HLOOKUP(Results!$B$2,Inputs!$B$2:'Inputs'!$L$9,6,FALSE),10,Inputs!$B$22)))/(1-Inputs!$B$23)</f>
        <v>-0.91344882038276376</v>
      </c>
      <c r="M37" s="20">
        <f>((HLOOKUP(Results!$B$2,Inputs!$B$2:$L$11,10,FALSE)/($F37*8760)+M$1/1000)*HLOOKUP(Results!$B$2,Inputs!$B$2:'Inputs'!$L$9,4,FALSE) - PMT(HLOOKUP(Results!$B$2,Inputs!$B$2:'Inputs'!$L$9,6,FALSE),HLOOKUP(Results!$B$2,Inputs!$B$2:'Inputs'!$L$9,5,FALSE),PV(HLOOKUP(Results!$B$2,Inputs!$B$2:'Inputs'!$L$9,6,FALSE),10,Inputs!$B$22)))/(1-Inputs!$B$23)</f>
        <v>-1.4134488203827638</v>
      </c>
    </row>
    <row r="38" spans="6:13" x14ac:dyDescent="0.35">
      <c r="F38">
        <v>0.74</v>
      </c>
      <c r="G38" s="20">
        <f>((HLOOKUP(Results!$B$2,Inputs!$B$2:$L$11,10,FALSE)/($F38*8760)+G$1/1000)*HLOOKUP(Results!$B$2,Inputs!$B$2:'Inputs'!$L$9,4,FALSE) - PMT(HLOOKUP(Results!$B$2,Inputs!$B$2:'Inputs'!$L$9,6,FALSE),HLOOKUP(Results!$B$2,Inputs!$B$2:'Inputs'!$L$9,5,FALSE),PV(HLOOKUP(Results!$B$2,Inputs!$B$2:'Inputs'!$L$9,6,FALSE),10,Inputs!$B$22)))/(1-Inputs!$B$23)</f>
        <v>1.5436714180059599</v>
      </c>
      <c r="H38" s="20">
        <f>((HLOOKUP(Results!$B$2,Inputs!$B$2:$L$11,10,FALSE)/($F38*8760)+H$1/1000)*HLOOKUP(Results!$B$2,Inputs!$B$2:'Inputs'!$L$9,4,FALSE) - PMT(HLOOKUP(Results!$B$2,Inputs!$B$2:'Inputs'!$L$9,6,FALSE),HLOOKUP(Results!$B$2,Inputs!$B$2:'Inputs'!$L$9,5,FALSE),PV(HLOOKUP(Results!$B$2,Inputs!$B$2:'Inputs'!$L$9,6,FALSE),10,Inputs!$B$22)))/(1-Inputs!$B$23)</f>
        <v>1.0436714180059599</v>
      </c>
      <c r="I38" s="20">
        <f>((HLOOKUP(Results!$B$2,Inputs!$B$2:$L$11,10,FALSE)/($F38*8760)+I$1/1000)*HLOOKUP(Results!$B$2,Inputs!$B$2:'Inputs'!$L$9,4,FALSE) - PMT(HLOOKUP(Results!$B$2,Inputs!$B$2:'Inputs'!$L$9,6,FALSE),HLOOKUP(Results!$B$2,Inputs!$B$2:'Inputs'!$L$9,5,FALSE),PV(HLOOKUP(Results!$B$2,Inputs!$B$2:'Inputs'!$L$9,6,FALSE),10,Inputs!$B$22)))/(1-Inputs!$B$23)</f>
        <v>0.54367141800595942</v>
      </c>
      <c r="J38" s="20">
        <f>((HLOOKUP(Results!$B$2,Inputs!$B$2:$L$11,10,FALSE)/($F38*8760)+J$1/1000)*HLOOKUP(Results!$B$2,Inputs!$B$2:'Inputs'!$L$9,4,FALSE) - PMT(HLOOKUP(Results!$B$2,Inputs!$B$2:'Inputs'!$L$9,6,FALSE),HLOOKUP(Results!$B$2,Inputs!$B$2:'Inputs'!$L$9,5,FALSE),PV(HLOOKUP(Results!$B$2,Inputs!$B$2:'Inputs'!$L$9,6,FALSE),10,Inputs!$B$22)))/(1-Inputs!$B$23)</f>
        <v>4.3671418005959861E-2</v>
      </c>
      <c r="K38" s="20">
        <f>((HLOOKUP(Results!$B$2,Inputs!$B$2:$L$11,10,FALSE)/($F38*8760)+K$1/1000)*HLOOKUP(Results!$B$2,Inputs!$B$2:'Inputs'!$L$9,4,FALSE) - PMT(HLOOKUP(Results!$B$2,Inputs!$B$2:'Inputs'!$L$9,6,FALSE),HLOOKUP(Results!$B$2,Inputs!$B$2:'Inputs'!$L$9,5,FALSE),PV(HLOOKUP(Results!$B$2,Inputs!$B$2:'Inputs'!$L$9,6,FALSE),10,Inputs!$B$22)))/(1-Inputs!$B$23)</f>
        <v>-0.45632858199404014</v>
      </c>
      <c r="L38" s="20">
        <f>((HLOOKUP(Results!$B$2,Inputs!$B$2:$L$11,10,FALSE)/($F38*8760)+L$1/1000)*HLOOKUP(Results!$B$2,Inputs!$B$2:'Inputs'!$L$9,4,FALSE) - PMT(HLOOKUP(Results!$B$2,Inputs!$B$2:'Inputs'!$L$9,6,FALSE),HLOOKUP(Results!$B$2,Inputs!$B$2:'Inputs'!$L$9,5,FALSE),PV(HLOOKUP(Results!$B$2,Inputs!$B$2:'Inputs'!$L$9,6,FALSE),10,Inputs!$B$22)))/(1-Inputs!$B$23)</f>
        <v>-0.95632858199404014</v>
      </c>
      <c r="M38" s="20">
        <f>((HLOOKUP(Results!$B$2,Inputs!$B$2:$L$11,10,FALSE)/($F38*8760)+M$1/1000)*HLOOKUP(Results!$B$2,Inputs!$B$2:'Inputs'!$L$9,4,FALSE) - PMT(HLOOKUP(Results!$B$2,Inputs!$B$2:'Inputs'!$L$9,6,FALSE),HLOOKUP(Results!$B$2,Inputs!$B$2:'Inputs'!$L$9,5,FALSE),PV(HLOOKUP(Results!$B$2,Inputs!$B$2:'Inputs'!$L$9,6,FALSE),10,Inputs!$B$22)))/(1-Inputs!$B$23)</f>
        <v>-1.4563285819940404</v>
      </c>
    </row>
    <row r="39" spans="6:13" x14ac:dyDescent="0.35">
      <c r="F39">
        <v>0.76</v>
      </c>
      <c r="G39" s="20">
        <f>((HLOOKUP(Results!$B$2,Inputs!$B$2:$L$11,10,FALSE)/($F39*8760)+G$1/1000)*HLOOKUP(Results!$B$2,Inputs!$B$2:'Inputs'!$L$9,4,FALSE) - PMT(HLOOKUP(Results!$B$2,Inputs!$B$2:'Inputs'!$L$9,6,FALSE),HLOOKUP(Results!$B$2,Inputs!$B$2:'Inputs'!$L$9,5,FALSE),PV(HLOOKUP(Results!$B$2,Inputs!$B$2:'Inputs'!$L$9,6,FALSE),10,Inputs!$B$22)))/(1-Inputs!$B$23)</f>
        <v>1.5030484859531712</v>
      </c>
      <c r="H39" s="20">
        <f>((HLOOKUP(Results!$B$2,Inputs!$B$2:$L$11,10,FALSE)/($F39*8760)+H$1/1000)*HLOOKUP(Results!$B$2,Inputs!$B$2:'Inputs'!$L$9,4,FALSE) - PMT(HLOOKUP(Results!$B$2,Inputs!$B$2:'Inputs'!$L$9,6,FALSE),HLOOKUP(Results!$B$2,Inputs!$B$2:'Inputs'!$L$9,5,FALSE),PV(HLOOKUP(Results!$B$2,Inputs!$B$2:'Inputs'!$L$9,6,FALSE),10,Inputs!$B$22)))/(1-Inputs!$B$23)</f>
        <v>1.0030484859531712</v>
      </c>
      <c r="I39" s="20">
        <f>((HLOOKUP(Results!$B$2,Inputs!$B$2:$L$11,10,FALSE)/($F39*8760)+I$1/1000)*HLOOKUP(Results!$B$2,Inputs!$B$2:'Inputs'!$L$9,4,FALSE) - PMT(HLOOKUP(Results!$B$2,Inputs!$B$2:'Inputs'!$L$9,6,FALSE),HLOOKUP(Results!$B$2,Inputs!$B$2:'Inputs'!$L$9,5,FALSE),PV(HLOOKUP(Results!$B$2,Inputs!$B$2:'Inputs'!$L$9,6,FALSE),10,Inputs!$B$22)))/(1-Inputs!$B$23)</f>
        <v>0.5030484859531712</v>
      </c>
      <c r="J39" s="20">
        <f>((HLOOKUP(Results!$B$2,Inputs!$B$2:$L$11,10,FALSE)/($F39*8760)+J$1/1000)*HLOOKUP(Results!$B$2,Inputs!$B$2:'Inputs'!$L$9,4,FALSE) - PMT(HLOOKUP(Results!$B$2,Inputs!$B$2:'Inputs'!$L$9,6,FALSE),HLOOKUP(Results!$B$2,Inputs!$B$2:'Inputs'!$L$9,5,FALSE),PV(HLOOKUP(Results!$B$2,Inputs!$B$2:'Inputs'!$L$9,6,FALSE),10,Inputs!$B$22)))/(1-Inputs!$B$23)</f>
        <v>3.0484859531707542E-3</v>
      </c>
      <c r="K39" s="20">
        <f>((HLOOKUP(Results!$B$2,Inputs!$B$2:$L$11,10,FALSE)/($F39*8760)+K$1/1000)*HLOOKUP(Results!$B$2,Inputs!$B$2:'Inputs'!$L$9,4,FALSE) - PMT(HLOOKUP(Results!$B$2,Inputs!$B$2:'Inputs'!$L$9,6,FALSE),HLOOKUP(Results!$B$2,Inputs!$B$2:'Inputs'!$L$9,5,FALSE),PV(HLOOKUP(Results!$B$2,Inputs!$B$2:'Inputs'!$L$9,6,FALSE),10,Inputs!$B$22)))/(1-Inputs!$B$23)</f>
        <v>-0.4969515140468288</v>
      </c>
      <c r="L39" s="20">
        <f>((HLOOKUP(Results!$B$2,Inputs!$B$2:$L$11,10,FALSE)/($F39*8760)+L$1/1000)*HLOOKUP(Results!$B$2,Inputs!$B$2:'Inputs'!$L$9,4,FALSE) - PMT(HLOOKUP(Results!$B$2,Inputs!$B$2:'Inputs'!$L$9,6,FALSE),HLOOKUP(Results!$B$2,Inputs!$B$2:'Inputs'!$L$9,5,FALSE),PV(HLOOKUP(Results!$B$2,Inputs!$B$2:'Inputs'!$L$9,6,FALSE),10,Inputs!$B$22)))/(1-Inputs!$B$23)</f>
        <v>-0.9969515140468288</v>
      </c>
      <c r="M39" s="20">
        <f>((HLOOKUP(Results!$B$2,Inputs!$B$2:$L$11,10,FALSE)/($F39*8760)+M$1/1000)*HLOOKUP(Results!$B$2,Inputs!$B$2:'Inputs'!$L$9,4,FALSE) - PMT(HLOOKUP(Results!$B$2,Inputs!$B$2:'Inputs'!$L$9,6,FALSE),HLOOKUP(Results!$B$2,Inputs!$B$2:'Inputs'!$L$9,5,FALSE),PV(HLOOKUP(Results!$B$2,Inputs!$B$2:'Inputs'!$L$9,6,FALSE),10,Inputs!$B$22)))/(1-Inputs!$B$23)</f>
        <v>-1.496951514046829</v>
      </c>
    </row>
    <row r="40" spans="6:13" x14ac:dyDescent="0.35">
      <c r="F40">
        <v>0.78</v>
      </c>
      <c r="G40" s="20">
        <f>((HLOOKUP(Results!$B$2,Inputs!$B$2:$L$11,10,FALSE)/($F40*8760)+G$1/1000)*HLOOKUP(Results!$B$2,Inputs!$B$2:'Inputs'!$L$9,4,FALSE) - PMT(HLOOKUP(Results!$B$2,Inputs!$B$2:'Inputs'!$L$9,6,FALSE),HLOOKUP(Results!$B$2,Inputs!$B$2:'Inputs'!$L$9,5,FALSE),PV(HLOOKUP(Results!$B$2,Inputs!$B$2:'Inputs'!$L$9,6,FALSE),10,Inputs!$B$22)))/(1-Inputs!$B$23)</f>
        <v>1.4645087811851405</v>
      </c>
      <c r="H40" s="20">
        <f>((HLOOKUP(Results!$B$2,Inputs!$B$2:$L$11,10,FALSE)/($F40*8760)+H$1/1000)*HLOOKUP(Results!$B$2,Inputs!$B$2:'Inputs'!$L$9,4,FALSE) - PMT(HLOOKUP(Results!$B$2,Inputs!$B$2:'Inputs'!$L$9,6,FALSE),HLOOKUP(Results!$B$2,Inputs!$B$2:'Inputs'!$L$9,5,FALSE),PV(HLOOKUP(Results!$B$2,Inputs!$B$2:'Inputs'!$L$9,6,FALSE),10,Inputs!$B$22)))/(1-Inputs!$B$23)</f>
        <v>0.96450878118514094</v>
      </c>
      <c r="I40" s="20">
        <f>((HLOOKUP(Results!$B$2,Inputs!$B$2:$L$11,10,FALSE)/($F40*8760)+I$1/1000)*HLOOKUP(Results!$B$2,Inputs!$B$2:'Inputs'!$L$9,4,FALSE) - PMT(HLOOKUP(Results!$B$2,Inputs!$B$2:'Inputs'!$L$9,6,FALSE),HLOOKUP(Results!$B$2,Inputs!$B$2:'Inputs'!$L$9,5,FALSE),PV(HLOOKUP(Results!$B$2,Inputs!$B$2:'Inputs'!$L$9,6,FALSE),10,Inputs!$B$22)))/(1-Inputs!$B$23)</f>
        <v>0.46450878118514138</v>
      </c>
      <c r="J40" s="20">
        <f>((HLOOKUP(Results!$B$2,Inputs!$B$2:$L$11,10,FALSE)/($F40*8760)+J$1/1000)*HLOOKUP(Results!$B$2,Inputs!$B$2:'Inputs'!$L$9,4,FALSE) - PMT(HLOOKUP(Results!$B$2,Inputs!$B$2:'Inputs'!$L$9,6,FALSE),HLOOKUP(Results!$B$2,Inputs!$B$2:'Inputs'!$L$9,5,FALSE),PV(HLOOKUP(Results!$B$2,Inputs!$B$2:'Inputs'!$L$9,6,FALSE),10,Inputs!$B$22)))/(1-Inputs!$B$23)</f>
        <v>-3.549121881485906E-2</v>
      </c>
      <c r="K40" s="20">
        <f>((HLOOKUP(Results!$B$2,Inputs!$B$2:$L$11,10,FALSE)/($F40*8760)+K$1/1000)*HLOOKUP(Results!$B$2,Inputs!$B$2:'Inputs'!$L$9,4,FALSE) - PMT(HLOOKUP(Results!$B$2,Inputs!$B$2:'Inputs'!$L$9,6,FALSE),HLOOKUP(Results!$B$2,Inputs!$B$2:'Inputs'!$L$9,5,FALSE),PV(HLOOKUP(Results!$B$2,Inputs!$B$2:'Inputs'!$L$9,6,FALSE),10,Inputs!$B$22)))/(1-Inputs!$B$23)</f>
        <v>-0.53549121881485906</v>
      </c>
      <c r="L40" s="20">
        <f>((HLOOKUP(Results!$B$2,Inputs!$B$2:$L$11,10,FALSE)/($F40*8760)+L$1/1000)*HLOOKUP(Results!$B$2,Inputs!$B$2:'Inputs'!$L$9,4,FALSE) - PMT(HLOOKUP(Results!$B$2,Inputs!$B$2:'Inputs'!$L$9,6,FALSE),HLOOKUP(Results!$B$2,Inputs!$B$2:'Inputs'!$L$9,5,FALSE),PV(HLOOKUP(Results!$B$2,Inputs!$B$2:'Inputs'!$L$9,6,FALSE),10,Inputs!$B$22)))/(1-Inputs!$B$23)</f>
        <v>-1.0354912188148591</v>
      </c>
      <c r="M40" s="20">
        <f>((HLOOKUP(Results!$B$2,Inputs!$B$2:$L$11,10,FALSE)/($F40*8760)+M$1/1000)*HLOOKUP(Results!$B$2,Inputs!$B$2:'Inputs'!$L$9,4,FALSE) - PMT(HLOOKUP(Results!$B$2,Inputs!$B$2:'Inputs'!$L$9,6,FALSE),HLOOKUP(Results!$B$2,Inputs!$B$2:'Inputs'!$L$9,5,FALSE),PV(HLOOKUP(Results!$B$2,Inputs!$B$2:'Inputs'!$L$9,6,FALSE),10,Inputs!$B$22)))/(1-Inputs!$B$23)</f>
        <v>-1.5354912188148588</v>
      </c>
    </row>
    <row r="41" spans="6:13" x14ac:dyDescent="0.35">
      <c r="F41">
        <v>0.8</v>
      </c>
      <c r="G41" s="20">
        <f>((HLOOKUP(Results!$B$2,Inputs!$B$2:$L$11,10,FALSE)/($F41*8760)+G$1/1000)*HLOOKUP(Results!$B$2,Inputs!$B$2:'Inputs'!$L$9,4,FALSE) - PMT(HLOOKUP(Results!$B$2,Inputs!$B$2:'Inputs'!$L$9,6,FALSE),HLOOKUP(Results!$B$2,Inputs!$B$2:'Inputs'!$L$9,5,FALSE),PV(HLOOKUP(Results!$B$2,Inputs!$B$2:'Inputs'!$L$9,6,FALSE),10,Inputs!$B$22)))/(1-Inputs!$B$23)</f>
        <v>1.4278960616555127</v>
      </c>
      <c r="H41" s="20">
        <f>((HLOOKUP(Results!$B$2,Inputs!$B$2:$L$11,10,FALSE)/($F41*8760)+H$1/1000)*HLOOKUP(Results!$B$2,Inputs!$B$2:'Inputs'!$L$9,4,FALSE) - PMT(HLOOKUP(Results!$B$2,Inputs!$B$2:'Inputs'!$L$9,6,FALSE),HLOOKUP(Results!$B$2,Inputs!$B$2:'Inputs'!$L$9,5,FALSE),PV(HLOOKUP(Results!$B$2,Inputs!$B$2:'Inputs'!$L$9,6,FALSE),10,Inputs!$B$22)))/(1-Inputs!$B$23)</f>
        <v>0.92789606165551231</v>
      </c>
      <c r="I41" s="20">
        <f>((HLOOKUP(Results!$B$2,Inputs!$B$2:$L$11,10,FALSE)/($F41*8760)+I$1/1000)*HLOOKUP(Results!$B$2,Inputs!$B$2:'Inputs'!$L$9,4,FALSE) - PMT(HLOOKUP(Results!$B$2,Inputs!$B$2:'Inputs'!$L$9,6,FALSE),HLOOKUP(Results!$B$2,Inputs!$B$2:'Inputs'!$L$9,5,FALSE),PV(HLOOKUP(Results!$B$2,Inputs!$B$2:'Inputs'!$L$9,6,FALSE),10,Inputs!$B$22)))/(1-Inputs!$B$23)</f>
        <v>0.42789606165551275</v>
      </c>
      <c r="J41" s="20">
        <f>((HLOOKUP(Results!$B$2,Inputs!$B$2:$L$11,10,FALSE)/($F41*8760)+J$1/1000)*HLOOKUP(Results!$B$2,Inputs!$B$2:'Inputs'!$L$9,4,FALSE) - PMT(HLOOKUP(Results!$B$2,Inputs!$B$2:'Inputs'!$L$9,6,FALSE),HLOOKUP(Results!$B$2,Inputs!$B$2:'Inputs'!$L$9,5,FALSE),PV(HLOOKUP(Results!$B$2,Inputs!$B$2:'Inputs'!$L$9,6,FALSE),10,Inputs!$B$22)))/(1-Inputs!$B$23)</f>
        <v>-7.2103938344487695E-2</v>
      </c>
      <c r="K41" s="20">
        <f>((HLOOKUP(Results!$B$2,Inputs!$B$2:$L$11,10,FALSE)/($F41*8760)+K$1/1000)*HLOOKUP(Results!$B$2,Inputs!$B$2:'Inputs'!$L$9,4,FALSE) - PMT(HLOOKUP(Results!$B$2,Inputs!$B$2:'Inputs'!$L$9,6,FALSE),HLOOKUP(Results!$B$2,Inputs!$B$2:'Inputs'!$L$9,5,FALSE),PV(HLOOKUP(Results!$B$2,Inputs!$B$2:'Inputs'!$L$9,6,FALSE),10,Inputs!$B$22)))/(1-Inputs!$B$23)</f>
        <v>-0.57210393834448769</v>
      </c>
      <c r="L41" s="20">
        <f>((HLOOKUP(Results!$B$2,Inputs!$B$2:$L$11,10,FALSE)/($F41*8760)+L$1/1000)*HLOOKUP(Results!$B$2,Inputs!$B$2:'Inputs'!$L$9,4,FALSE) - PMT(HLOOKUP(Results!$B$2,Inputs!$B$2:'Inputs'!$L$9,6,FALSE),HLOOKUP(Results!$B$2,Inputs!$B$2:'Inputs'!$L$9,5,FALSE),PV(HLOOKUP(Results!$B$2,Inputs!$B$2:'Inputs'!$L$9,6,FALSE),10,Inputs!$B$22)))/(1-Inputs!$B$23)</f>
        <v>-1.0721039383444873</v>
      </c>
      <c r="M41" s="20">
        <f>((HLOOKUP(Results!$B$2,Inputs!$B$2:$L$11,10,FALSE)/($F41*8760)+M$1/1000)*HLOOKUP(Results!$B$2,Inputs!$B$2:'Inputs'!$L$9,4,FALSE) - PMT(HLOOKUP(Results!$B$2,Inputs!$B$2:'Inputs'!$L$9,6,FALSE),HLOOKUP(Results!$B$2,Inputs!$B$2:'Inputs'!$L$9,5,FALSE),PV(HLOOKUP(Results!$B$2,Inputs!$B$2:'Inputs'!$L$9,6,FALSE),10,Inputs!$B$22)))/(1-Inputs!$B$23)</f>
        <v>-1.5721039383444875</v>
      </c>
    </row>
    <row r="42" spans="6:13" x14ac:dyDescent="0.35">
      <c r="F42">
        <v>0.82</v>
      </c>
      <c r="G42" s="20">
        <f>((HLOOKUP(Results!$B$2,Inputs!$B$2:$L$11,10,FALSE)/($F42*8760)+G$1/1000)*HLOOKUP(Results!$B$2,Inputs!$B$2:'Inputs'!$L$9,4,FALSE) - PMT(HLOOKUP(Results!$B$2,Inputs!$B$2:'Inputs'!$L$9,6,FALSE),HLOOKUP(Results!$B$2,Inputs!$B$2:'Inputs'!$L$9,5,FALSE),PV(HLOOKUP(Results!$B$2,Inputs!$B$2:'Inputs'!$L$9,6,FALSE),10,Inputs!$B$22)))/(1-Inputs!$B$23)</f>
        <v>1.3930693284444025</v>
      </c>
      <c r="H42" s="20">
        <f>((HLOOKUP(Results!$B$2,Inputs!$B$2:$L$11,10,FALSE)/($F42*8760)+H$1/1000)*HLOOKUP(Results!$B$2,Inputs!$B$2:'Inputs'!$L$9,4,FALSE) - PMT(HLOOKUP(Results!$B$2,Inputs!$B$2:'Inputs'!$L$9,6,FALSE),HLOOKUP(Results!$B$2,Inputs!$B$2:'Inputs'!$L$9,5,FALSE),PV(HLOOKUP(Results!$B$2,Inputs!$B$2:'Inputs'!$L$9,6,FALSE),10,Inputs!$B$22)))/(1-Inputs!$B$23)</f>
        <v>0.8930693284444029</v>
      </c>
      <c r="I42" s="20">
        <f>((HLOOKUP(Results!$B$2,Inputs!$B$2:$L$11,10,FALSE)/($F42*8760)+I$1/1000)*HLOOKUP(Results!$B$2,Inputs!$B$2:'Inputs'!$L$9,4,FALSE) - PMT(HLOOKUP(Results!$B$2,Inputs!$B$2:'Inputs'!$L$9,6,FALSE),HLOOKUP(Results!$B$2,Inputs!$B$2:'Inputs'!$L$9,5,FALSE),PV(HLOOKUP(Results!$B$2,Inputs!$B$2:'Inputs'!$L$9,6,FALSE),10,Inputs!$B$22)))/(1-Inputs!$B$23)</f>
        <v>0.39306932844440245</v>
      </c>
      <c r="J42" s="20">
        <f>((HLOOKUP(Results!$B$2,Inputs!$B$2:$L$11,10,FALSE)/($F42*8760)+J$1/1000)*HLOOKUP(Results!$B$2,Inputs!$B$2:'Inputs'!$L$9,4,FALSE) - PMT(HLOOKUP(Results!$B$2,Inputs!$B$2:'Inputs'!$L$9,6,FALSE),HLOOKUP(Results!$B$2,Inputs!$B$2:'Inputs'!$L$9,5,FALSE),PV(HLOOKUP(Results!$B$2,Inputs!$B$2:'Inputs'!$L$9,6,FALSE),10,Inputs!$B$22)))/(1-Inputs!$B$23)</f>
        <v>-0.10693067155559755</v>
      </c>
      <c r="K42" s="20">
        <f>((HLOOKUP(Results!$B$2,Inputs!$B$2:$L$11,10,FALSE)/($F42*8760)+K$1/1000)*HLOOKUP(Results!$B$2,Inputs!$B$2:'Inputs'!$L$9,4,FALSE) - PMT(HLOOKUP(Results!$B$2,Inputs!$B$2:'Inputs'!$L$9,6,FALSE),HLOOKUP(Results!$B$2,Inputs!$B$2:'Inputs'!$L$9,5,FALSE),PV(HLOOKUP(Results!$B$2,Inputs!$B$2:'Inputs'!$L$9,6,FALSE),10,Inputs!$B$22)))/(1-Inputs!$B$23)</f>
        <v>-0.60693067155559755</v>
      </c>
      <c r="L42" s="20">
        <f>((HLOOKUP(Results!$B$2,Inputs!$B$2:$L$11,10,FALSE)/($F42*8760)+L$1/1000)*HLOOKUP(Results!$B$2,Inputs!$B$2:'Inputs'!$L$9,4,FALSE) - PMT(HLOOKUP(Results!$B$2,Inputs!$B$2:'Inputs'!$L$9,6,FALSE),HLOOKUP(Results!$B$2,Inputs!$B$2:'Inputs'!$L$9,5,FALSE),PV(HLOOKUP(Results!$B$2,Inputs!$B$2:'Inputs'!$L$9,6,FALSE),10,Inputs!$B$22)))/(1-Inputs!$B$23)</f>
        <v>-1.1069306715555975</v>
      </c>
      <c r="M42" s="20">
        <f>((HLOOKUP(Results!$B$2,Inputs!$B$2:$L$11,10,FALSE)/($F42*8760)+M$1/1000)*HLOOKUP(Results!$B$2,Inputs!$B$2:'Inputs'!$L$9,4,FALSE) - PMT(HLOOKUP(Results!$B$2,Inputs!$B$2:'Inputs'!$L$9,6,FALSE),HLOOKUP(Results!$B$2,Inputs!$B$2:'Inputs'!$L$9,5,FALSE),PV(HLOOKUP(Results!$B$2,Inputs!$B$2:'Inputs'!$L$9,6,FALSE),10,Inputs!$B$22)))/(1-Inputs!$B$23)</f>
        <v>-1.6069306715555975</v>
      </c>
    </row>
    <row r="43" spans="6:13" x14ac:dyDescent="0.35">
      <c r="F43">
        <v>0.84</v>
      </c>
      <c r="G43" s="20">
        <f>((HLOOKUP(Results!$B$2,Inputs!$B$2:$L$11,10,FALSE)/($F43*8760)+G$1/1000)*HLOOKUP(Results!$B$2,Inputs!$B$2:'Inputs'!$L$9,4,FALSE) - PMT(HLOOKUP(Results!$B$2,Inputs!$B$2:'Inputs'!$L$9,6,FALSE),HLOOKUP(Results!$B$2,Inputs!$B$2:'Inputs'!$L$9,5,FALSE),PV(HLOOKUP(Results!$B$2,Inputs!$B$2:'Inputs'!$L$9,6,FALSE),10,Inputs!$B$22)))/(1-Inputs!$B$23)</f>
        <v>1.3599010111004879</v>
      </c>
      <c r="H43" s="20">
        <f>((HLOOKUP(Results!$B$2,Inputs!$B$2:$L$11,10,FALSE)/($F43*8760)+H$1/1000)*HLOOKUP(Results!$B$2,Inputs!$B$2:'Inputs'!$L$9,4,FALSE) - PMT(HLOOKUP(Results!$B$2,Inputs!$B$2:'Inputs'!$L$9,6,FALSE),HLOOKUP(Results!$B$2,Inputs!$B$2:'Inputs'!$L$9,5,FALSE),PV(HLOOKUP(Results!$B$2,Inputs!$B$2:'Inputs'!$L$9,6,FALSE),10,Inputs!$B$22)))/(1-Inputs!$B$23)</f>
        <v>0.85990101110048833</v>
      </c>
      <c r="I43" s="20">
        <f>((HLOOKUP(Results!$B$2,Inputs!$B$2:$L$11,10,FALSE)/($F43*8760)+I$1/1000)*HLOOKUP(Results!$B$2,Inputs!$B$2:'Inputs'!$L$9,4,FALSE) - PMT(HLOOKUP(Results!$B$2,Inputs!$B$2:'Inputs'!$L$9,6,FALSE),HLOOKUP(Results!$B$2,Inputs!$B$2:'Inputs'!$L$9,5,FALSE),PV(HLOOKUP(Results!$B$2,Inputs!$B$2:'Inputs'!$L$9,6,FALSE),10,Inputs!$B$22)))/(1-Inputs!$B$23)</f>
        <v>0.35990101110048789</v>
      </c>
      <c r="J43" s="20">
        <f>((HLOOKUP(Results!$B$2,Inputs!$B$2:$L$11,10,FALSE)/($F43*8760)+J$1/1000)*HLOOKUP(Results!$B$2,Inputs!$B$2:'Inputs'!$L$9,4,FALSE) - PMT(HLOOKUP(Results!$B$2,Inputs!$B$2:'Inputs'!$L$9,6,FALSE),HLOOKUP(Results!$B$2,Inputs!$B$2:'Inputs'!$L$9,5,FALSE),PV(HLOOKUP(Results!$B$2,Inputs!$B$2:'Inputs'!$L$9,6,FALSE),10,Inputs!$B$22)))/(1-Inputs!$B$23)</f>
        <v>-0.14009898889951167</v>
      </c>
      <c r="K43" s="20">
        <f>((HLOOKUP(Results!$B$2,Inputs!$B$2:$L$11,10,FALSE)/($F43*8760)+K$1/1000)*HLOOKUP(Results!$B$2,Inputs!$B$2:'Inputs'!$L$9,4,FALSE) - PMT(HLOOKUP(Results!$B$2,Inputs!$B$2:'Inputs'!$L$9,6,FALSE),HLOOKUP(Results!$B$2,Inputs!$B$2:'Inputs'!$L$9,5,FALSE),PV(HLOOKUP(Results!$B$2,Inputs!$B$2:'Inputs'!$L$9,6,FALSE),10,Inputs!$B$22)))/(1-Inputs!$B$23)</f>
        <v>-0.64009898889951167</v>
      </c>
      <c r="L43" s="20">
        <f>((HLOOKUP(Results!$B$2,Inputs!$B$2:$L$11,10,FALSE)/($F43*8760)+L$1/1000)*HLOOKUP(Results!$B$2,Inputs!$B$2:'Inputs'!$L$9,4,FALSE) - PMT(HLOOKUP(Results!$B$2,Inputs!$B$2:'Inputs'!$L$9,6,FALSE),HLOOKUP(Results!$B$2,Inputs!$B$2:'Inputs'!$L$9,5,FALSE),PV(HLOOKUP(Results!$B$2,Inputs!$B$2:'Inputs'!$L$9,6,FALSE),10,Inputs!$B$22)))/(1-Inputs!$B$23)</f>
        <v>-1.1400989888995119</v>
      </c>
      <c r="M43" s="20">
        <f>((HLOOKUP(Results!$B$2,Inputs!$B$2:$L$11,10,FALSE)/($F43*8760)+M$1/1000)*HLOOKUP(Results!$B$2,Inputs!$B$2:'Inputs'!$L$9,4,FALSE) - PMT(HLOOKUP(Results!$B$2,Inputs!$B$2:'Inputs'!$L$9,6,FALSE),HLOOKUP(Results!$B$2,Inputs!$B$2:'Inputs'!$L$9,5,FALSE),PV(HLOOKUP(Results!$B$2,Inputs!$B$2:'Inputs'!$L$9,6,FALSE),10,Inputs!$B$22)))/(1-Inputs!$B$23)</f>
        <v>-1.6400989888995119</v>
      </c>
    </row>
    <row r="44" spans="6:13" x14ac:dyDescent="0.35">
      <c r="F44">
        <v>0.86</v>
      </c>
      <c r="G44" s="20">
        <f>((HLOOKUP(Results!$B$2,Inputs!$B$2:$L$11,10,FALSE)/($F44*8760)+G$1/1000)*HLOOKUP(Results!$B$2,Inputs!$B$2:'Inputs'!$L$9,4,FALSE) - PMT(HLOOKUP(Results!$B$2,Inputs!$B$2:'Inputs'!$L$9,6,FALSE),HLOOKUP(Results!$B$2,Inputs!$B$2:'Inputs'!$L$9,5,FALSE),PV(HLOOKUP(Results!$B$2,Inputs!$B$2:'Inputs'!$L$9,6,FALSE),10,Inputs!$B$22)))/(1-Inputs!$B$23)</f>
        <v>1.3282754061911741</v>
      </c>
      <c r="H44" s="20">
        <f>((HLOOKUP(Results!$B$2,Inputs!$B$2:$L$11,10,FALSE)/($F44*8760)+H$1/1000)*HLOOKUP(Results!$B$2,Inputs!$B$2:'Inputs'!$L$9,4,FALSE) - PMT(HLOOKUP(Results!$B$2,Inputs!$B$2:'Inputs'!$L$9,6,FALSE),HLOOKUP(Results!$B$2,Inputs!$B$2:'Inputs'!$L$9,5,FALSE),PV(HLOOKUP(Results!$B$2,Inputs!$B$2:'Inputs'!$L$9,6,FALSE),10,Inputs!$B$22)))/(1-Inputs!$B$23)</f>
        <v>0.82827540619117457</v>
      </c>
      <c r="I44" s="20">
        <f>((HLOOKUP(Results!$B$2,Inputs!$B$2:$L$11,10,FALSE)/($F44*8760)+I$1/1000)*HLOOKUP(Results!$B$2,Inputs!$B$2:'Inputs'!$L$9,4,FALSE) - PMT(HLOOKUP(Results!$B$2,Inputs!$B$2:'Inputs'!$L$9,6,FALSE),HLOOKUP(Results!$B$2,Inputs!$B$2:'Inputs'!$L$9,5,FALSE),PV(HLOOKUP(Results!$B$2,Inputs!$B$2:'Inputs'!$L$9,6,FALSE),10,Inputs!$B$22)))/(1-Inputs!$B$23)</f>
        <v>0.32827540619117457</v>
      </c>
      <c r="J44" s="20">
        <f>((HLOOKUP(Results!$B$2,Inputs!$B$2:$L$11,10,FALSE)/($F44*8760)+J$1/1000)*HLOOKUP(Results!$B$2,Inputs!$B$2:'Inputs'!$L$9,4,FALSE) - PMT(HLOOKUP(Results!$B$2,Inputs!$B$2:'Inputs'!$L$9,6,FALSE),HLOOKUP(Results!$B$2,Inputs!$B$2:'Inputs'!$L$9,5,FALSE),PV(HLOOKUP(Results!$B$2,Inputs!$B$2:'Inputs'!$L$9,6,FALSE),10,Inputs!$B$22)))/(1-Inputs!$B$23)</f>
        <v>-0.17172459380882588</v>
      </c>
      <c r="K44" s="20">
        <f>((HLOOKUP(Results!$B$2,Inputs!$B$2:$L$11,10,FALSE)/($F44*8760)+K$1/1000)*HLOOKUP(Results!$B$2,Inputs!$B$2:'Inputs'!$L$9,4,FALSE) - PMT(HLOOKUP(Results!$B$2,Inputs!$B$2:'Inputs'!$L$9,6,FALSE),HLOOKUP(Results!$B$2,Inputs!$B$2:'Inputs'!$L$9,5,FALSE),PV(HLOOKUP(Results!$B$2,Inputs!$B$2:'Inputs'!$L$9,6,FALSE),10,Inputs!$B$22)))/(1-Inputs!$B$23)</f>
        <v>-0.67172459380882543</v>
      </c>
      <c r="L44" s="20">
        <f>((HLOOKUP(Results!$B$2,Inputs!$B$2:$L$11,10,FALSE)/($F44*8760)+L$1/1000)*HLOOKUP(Results!$B$2,Inputs!$B$2:'Inputs'!$L$9,4,FALSE) - PMT(HLOOKUP(Results!$B$2,Inputs!$B$2:'Inputs'!$L$9,6,FALSE),HLOOKUP(Results!$B$2,Inputs!$B$2:'Inputs'!$L$9,5,FALSE),PV(HLOOKUP(Results!$B$2,Inputs!$B$2:'Inputs'!$L$9,6,FALSE),10,Inputs!$B$22)))/(1-Inputs!$B$23)</f>
        <v>-1.1717245938088257</v>
      </c>
      <c r="M44" s="20">
        <f>((HLOOKUP(Results!$B$2,Inputs!$B$2:$L$11,10,FALSE)/($F44*8760)+M$1/1000)*HLOOKUP(Results!$B$2,Inputs!$B$2:'Inputs'!$L$9,4,FALSE) - PMT(HLOOKUP(Results!$B$2,Inputs!$B$2:'Inputs'!$L$9,6,FALSE),HLOOKUP(Results!$B$2,Inputs!$B$2:'Inputs'!$L$9,5,FALSE),PV(HLOOKUP(Results!$B$2,Inputs!$B$2:'Inputs'!$L$9,6,FALSE),10,Inputs!$B$22)))/(1-Inputs!$B$23)</f>
        <v>-1.6717245938088254</v>
      </c>
    </row>
    <row r="45" spans="6:13" x14ac:dyDescent="0.35">
      <c r="F45">
        <v>0.88</v>
      </c>
      <c r="G45" s="20">
        <f>((HLOOKUP(Results!$B$2,Inputs!$B$2:$L$11,10,FALSE)/($F45*8760)+G$1/1000)*HLOOKUP(Results!$B$2,Inputs!$B$2:'Inputs'!$L$9,4,FALSE) - PMT(HLOOKUP(Results!$B$2,Inputs!$B$2:'Inputs'!$L$9,6,FALSE),HLOOKUP(Results!$B$2,Inputs!$B$2:'Inputs'!$L$9,5,FALSE),PV(HLOOKUP(Results!$B$2,Inputs!$B$2:'Inputs'!$L$9,6,FALSE),10,Inputs!$B$22)))/(1-Inputs!$B$23)</f>
        <v>1.2980873287777386</v>
      </c>
      <c r="H45" s="20">
        <f>((HLOOKUP(Results!$B$2,Inputs!$B$2:$L$11,10,FALSE)/($F45*8760)+H$1/1000)*HLOOKUP(Results!$B$2,Inputs!$B$2:'Inputs'!$L$9,4,FALSE) - PMT(HLOOKUP(Results!$B$2,Inputs!$B$2:'Inputs'!$L$9,6,FALSE),HLOOKUP(Results!$B$2,Inputs!$B$2:'Inputs'!$L$9,5,FALSE),PV(HLOOKUP(Results!$B$2,Inputs!$B$2:'Inputs'!$L$9,6,FALSE),10,Inputs!$B$22)))/(1-Inputs!$B$23)</f>
        <v>0.79808732877773858</v>
      </c>
      <c r="I45" s="20">
        <f>((HLOOKUP(Results!$B$2,Inputs!$B$2:$L$11,10,FALSE)/($F45*8760)+I$1/1000)*HLOOKUP(Results!$B$2,Inputs!$B$2:'Inputs'!$L$9,4,FALSE) - PMT(HLOOKUP(Results!$B$2,Inputs!$B$2:'Inputs'!$L$9,6,FALSE),HLOOKUP(Results!$B$2,Inputs!$B$2:'Inputs'!$L$9,5,FALSE),PV(HLOOKUP(Results!$B$2,Inputs!$B$2:'Inputs'!$L$9,6,FALSE),10,Inputs!$B$22)))/(1-Inputs!$B$23)</f>
        <v>0.29808732877773902</v>
      </c>
      <c r="J45" s="20">
        <f>((HLOOKUP(Results!$B$2,Inputs!$B$2:$L$11,10,FALSE)/($F45*8760)+J$1/1000)*HLOOKUP(Results!$B$2,Inputs!$B$2:'Inputs'!$L$9,4,FALSE) - PMT(HLOOKUP(Results!$B$2,Inputs!$B$2:'Inputs'!$L$9,6,FALSE),HLOOKUP(Results!$B$2,Inputs!$B$2:'Inputs'!$L$9,5,FALSE),PV(HLOOKUP(Results!$B$2,Inputs!$B$2:'Inputs'!$L$9,6,FALSE),10,Inputs!$B$22)))/(1-Inputs!$B$23)</f>
        <v>-0.20191267122226142</v>
      </c>
      <c r="K45" s="20">
        <f>((HLOOKUP(Results!$B$2,Inputs!$B$2:$L$11,10,FALSE)/($F45*8760)+K$1/1000)*HLOOKUP(Results!$B$2,Inputs!$B$2:'Inputs'!$L$9,4,FALSE) - PMT(HLOOKUP(Results!$B$2,Inputs!$B$2:'Inputs'!$L$9,6,FALSE),HLOOKUP(Results!$B$2,Inputs!$B$2:'Inputs'!$L$9,5,FALSE),PV(HLOOKUP(Results!$B$2,Inputs!$B$2:'Inputs'!$L$9,6,FALSE),10,Inputs!$B$22)))/(1-Inputs!$B$23)</f>
        <v>-0.70191267122226142</v>
      </c>
      <c r="L45" s="20">
        <f>((HLOOKUP(Results!$B$2,Inputs!$B$2:$L$11,10,FALSE)/($F45*8760)+L$1/1000)*HLOOKUP(Results!$B$2,Inputs!$B$2:'Inputs'!$L$9,4,FALSE) - PMT(HLOOKUP(Results!$B$2,Inputs!$B$2:'Inputs'!$L$9,6,FALSE),HLOOKUP(Results!$B$2,Inputs!$B$2:'Inputs'!$L$9,5,FALSE),PV(HLOOKUP(Results!$B$2,Inputs!$B$2:'Inputs'!$L$9,6,FALSE),10,Inputs!$B$22)))/(1-Inputs!$B$23)</f>
        <v>-1.2019126712222614</v>
      </c>
      <c r="M45" s="20">
        <f>((HLOOKUP(Results!$B$2,Inputs!$B$2:$L$11,10,FALSE)/($F45*8760)+M$1/1000)*HLOOKUP(Results!$B$2,Inputs!$B$2:'Inputs'!$L$9,4,FALSE) - PMT(HLOOKUP(Results!$B$2,Inputs!$B$2:'Inputs'!$L$9,6,FALSE),HLOOKUP(Results!$B$2,Inputs!$B$2:'Inputs'!$L$9,5,FALSE),PV(HLOOKUP(Results!$B$2,Inputs!$B$2:'Inputs'!$L$9,6,FALSE),10,Inputs!$B$22)))/(1-Inputs!$B$23)</f>
        <v>-1.7019126712222614</v>
      </c>
    </row>
    <row r="46" spans="6:13" x14ac:dyDescent="0.35">
      <c r="F46">
        <v>0.9</v>
      </c>
      <c r="G46" s="20">
        <f>((HLOOKUP(Results!$B$2,Inputs!$B$2:$L$11,10,FALSE)/($F46*8760)+G$1/1000)*HLOOKUP(Results!$B$2,Inputs!$B$2:'Inputs'!$L$9,4,FALSE) - PMT(HLOOKUP(Results!$B$2,Inputs!$B$2:'Inputs'!$L$9,6,FALSE),HLOOKUP(Results!$B$2,Inputs!$B$2:'Inputs'!$L$9,5,FALSE),PV(HLOOKUP(Results!$B$2,Inputs!$B$2:'Inputs'!$L$9,6,FALSE),10,Inputs!$B$22)))/(1-Inputs!$B$23)</f>
        <v>1.2692409436937884</v>
      </c>
      <c r="H46" s="20">
        <f>((HLOOKUP(Results!$B$2,Inputs!$B$2:$L$11,10,FALSE)/($F46*8760)+H$1/1000)*HLOOKUP(Results!$B$2,Inputs!$B$2:'Inputs'!$L$9,4,FALSE) - PMT(HLOOKUP(Results!$B$2,Inputs!$B$2:'Inputs'!$L$9,6,FALSE),HLOOKUP(Results!$B$2,Inputs!$B$2:'Inputs'!$L$9,5,FALSE),PV(HLOOKUP(Results!$B$2,Inputs!$B$2:'Inputs'!$L$9,6,FALSE),10,Inputs!$B$22)))/(1-Inputs!$B$23)</f>
        <v>0.76924094369378926</v>
      </c>
      <c r="I46" s="20">
        <f>((HLOOKUP(Results!$B$2,Inputs!$B$2:$L$11,10,FALSE)/($F46*8760)+I$1/1000)*HLOOKUP(Results!$B$2,Inputs!$B$2:'Inputs'!$L$9,4,FALSE) - PMT(HLOOKUP(Results!$B$2,Inputs!$B$2:'Inputs'!$L$9,6,FALSE),HLOOKUP(Results!$B$2,Inputs!$B$2:'Inputs'!$L$9,5,FALSE),PV(HLOOKUP(Results!$B$2,Inputs!$B$2:'Inputs'!$L$9,6,FALSE),10,Inputs!$B$22)))/(1-Inputs!$B$23)</f>
        <v>0.26924094369378881</v>
      </c>
      <c r="J46" s="20">
        <f>((HLOOKUP(Results!$B$2,Inputs!$B$2:$L$11,10,FALSE)/($F46*8760)+J$1/1000)*HLOOKUP(Results!$B$2,Inputs!$B$2:'Inputs'!$L$9,4,FALSE) - PMT(HLOOKUP(Results!$B$2,Inputs!$B$2:'Inputs'!$L$9,6,FALSE),HLOOKUP(Results!$B$2,Inputs!$B$2:'Inputs'!$L$9,5,FALSE),PV(HLOOKUP(Results!$B$2,Inputs!$B$2:'Inputs'!$L$9,6,FALSE),10,Inputs!$B$22)))/(1-Inputs!$B$23)</f>
        <v>-0.23075905630621119</v>
      </c>
      <c r="K46" s="20">
        <f>((HLOOKUP(Results!$B$2,Inputs!$B$2:$L$11,10,FALSE)/($F46*8760)+K$1/1000)*HLOOKUP(Results!$B$2,Inputs!$B$2:'Inputs'!$L$9,4,FALSE) - PMT(HLOOKUP(Results!$B$2,Inputs!$B$2:'Inputs'!$L$9,6,FALSE),HLOOKUP(Results!$B$2,Inputs!$B$2:'Inputs'!$L$9,5,FALSE),PV(HLOOKUP(Results!$B$2,Inputs!$B$2:'Inputs'!$L$9,6,FALSE),10,Inputs!$B$22)))/(1-Inputs!$B$23)</f>
        <v>-0.73075905630621119</v>
      </c>
      <c r="L46" s="20">
        <f>((HLOOKUP(Results!$B$2,Inputs!$B$2:$L$11,10,FALSE)/($F46*8760)+L$1/1000)*HLOOKUP(Results!$B$2,Inputs!$B$2:'Inputs'!$L$9,4,FALSE) - PMT(HLOOKUP(Results!$B$2,Inputs!$B$2:'Inputs'!$L$9,6,FALSE),HLOOKUP(Results!$B$2,Inputs!$B$2:'Inputs'!$L$9,5,FALSE),PV(HLOOKUP(Results!$B$2,Inputs!$B$2:'Inputs'!$L$9,6,FALSE),10,Inputs!$B$22)))/(1-Inputs!$B$23)</f>
        <v>-1.230759056306211</v>
      </c>
      <c r="M46" s="20">
        <f>((HLOOKUP(Results!$B$2,Inputs!$B$2:$L$11,10,FALSE)/($F46*8760)+M$1/1000)*HLOOKUP(Results!$B$2,Inputs!$B$2:'Inputs'!$L$9,4,FALSE) - PMT(HLOOKUP(Results!$B$2,Inputs!$B$2:'Inputs'!$L$9,6,FALSE),HLOOKUP(Results!$B$2,Inputs!$B$2:'Inputs'!$L$9,5,FALSE),PV(HLOOKUP(Results!$B$2,Inputs!$B$2:'Inputs'!$L$9,6,FALSE),10,Inputs!$B$22)))/(1-Inputs!$B$23)</f>
        <v>-1.730759056306211</v>
      </c>
    </row>
    <row r="47" spans="6:13" x14ac:dyDescent="0.35">
      <c r="F47">
        <v>0.92</v>
      </c>
      <c r="G47" s="20">
        <f>((HLOOKUP(Results!$B$2,Inputs!$B$2:$L$11,10,FALSE)/($F47*8760)+G$1/1000)*HLOOKUP(Results!$B$2,Inputs!$B$2:'Inputs'!$L$9,4,FALSE) - PMT(HLOOKUP(Results!$B$2,Inputs!$B$2:'Inputs'!$L$9,6,FALSE),HLOOKUP(Results!$B$2,Inputs!$B$2:'Inputs'!$L$9,5,FALSE),PV(HLOOKUP(Results!$B$2,Inputs!$B$2:'Inputs'!$L$9,6,FALSE),10,Inputs!$B$22)))/(1-Inputs!$B$23)</f>
        <v>1.2416487492656629</v>
      </c>
      <c r="H47" s="20">
        <f>((HLOOKUP(Results!$B$2,Inputs!$B$2:$L$11,10,FALSE)/($F47*8760)+H$1/1000)*HLOOKUP(Results!$B$2,Inputs!$B$2:'Inputs'!$L$9,4,FALSE) - PMT(HLOOKUP(Results!$B$2,Inputs!$B$2:'Inputs'!$L$9,6,FALSE),HLOOKUP(Results!$B$2,Inputs!$B$2:'Inputs'!$L$9,5,FALSE),PV(HLOOKUP(Results!$B$2,Inputs!$B$2:'Inputs'!$L$9,6,FALSE),10,Inputs!$B$22)))/(1-Inputs!$B$23)</f>
        <v>0.74164874926566293</v>
      </c>
      <c r="I47" s="20">
        <f>((HLOOKUP(Results!$B$2,Inputs!$B$2:$L$11,10,FALSE)/($F47*8760)+I$1/1000)*HLOOKUP(Results!$B$2,Inputs!$B$2:'Inputs'!$L$9,4,FALSE) - PMT(HLOOKUP(Results!$B$2,Inputs!$B$2:'Inputs'!$L$9,6,FALSE),HLOOKUP(Results!$B$2,Inputs!$B$2:'Inputs'!$L$9,5,FALSE),PV(HLOOKUP(Results!$B$2,Inputs!$B$2:'Inputs'!$L$9,6,FALSE),10,Inputs!$B$22)))/(1-Inputs!$B$23)</f>
        <v>0.24164874926566293</v>
      </c>
      <c r="J47" s="20">
        <f>((HLOOKUP(Results!$B$2,Inputs!$B$2:$L$11,10,FALSE)/($F47*8760)+J$1/1000)*HLOOKUP(Results!$B$2,Inputs!$B$2:'Inputs'!$L$9,4,FALSE) - PMT(HLOOKUP(Results!$B$2,Inputs!$B$2:'Inputs'!$L$9,6,FALSE),HLOOKUP(Results!$B$2,Inputs!$B$2:'Inputs'!$L$9,5,FALSE),PV(HLOOKUP(Results!$B$2,Inputs!$B$2:'Inputs'!$L$9,6,FALSE),10,Inputs!$B$22)))/(1-Inputs!$B$23)</f>
        <v>-0.25835125073433707</v>
      </c>
      <c r="K47" s="20">
        <f>((HLOOKUP(Results!$B$2,Inputs!$B$2:$L$11,10,FALSE)/($F47*8760)+K$1/1000)*HLOOKUP(Results!$B$2,Inputs!$B$2:'Inputs'!$L$9,4,FALSE) - PMT(HLOOKUP(Results!$B$2,Inputs!$B$2:'Inputs'!$L$9,6,FALSE),HLOOKUP(Results!$B$2,Inputs!$B$2:'Inputs'!$L$9,5,FALSE),PV(HLOOKUP(Results!$B$2,Inputs!$B$2:'Inputs'!$L$9,6,FALSE),10,Inputs!$B$22)))/(1-Inputs!$B$23)</f>
        <v>-0.75835125073433707</v>
      </c>
      <c r="L47" s="20">
        <f>((HLOOKUP(Results!$B$2,Inputs!$B$2:$L$11,10,FALSE)/($F47*8760)+L$1/1000)*HLOOKUP(Results!$B$2,Inputs!$B$2:'Inputs'!$L$9,4,FALSE) - PMT(HLOOKUP(Results!$B$2,Inputs!$B$2:'Inputs'!$L$9,6,FALSE),HLOOKUP(Results!$B$2,Inputs!$B$2:'Inputs'!$L$9,5,FALSE),PV(HLOOKUP(Results!$B$2,Inputs!$B$2:'Inputs'!$L$9,6,FALSE),10,Inputs!$B$22)))/(1-Inputs!$B$23)</f>
        <v>-1.2583512507343373</v>
      </c>
      <c r="M47" s="20">
        <f>((HLOOKUP(Results!$B$2,Inputs!$B$2:$L$11,10,FALSE)/($F47*8760)+M$1/1000)*HLOOKUP(Results!$B$2,Inputs!$B$2:'Inputs'!$L$9,4,FALSE) - PMT(HLOOKUP(Results!$B$2,Inputs!$B$2:'Inputs'!$L$9,6,FALSE),HLOOKUP(Results!$B$2,Inputs!$B$2:'Inputs'!$L$9,5,FALSE),PV(HLOOKUP(Results!$B$2,Inputs!$B$2:'Inputs'!$L$9,6,FALSE),10,Inputs!$B$22)))/(1-Inputs!$B$23)</f>
        <v>-1.7583512507343371</v>
      </c>
    </row>
    <row r="48" spans="6:13" x14ac:dyDescent="0.35">
      <c r="F48">
        <v>0.94</v>
      </c>
      <c r="G48" s="20">
        <f>((HLOOKUP(Results!$B$2,Inputs!$B$2:$L$11,10,FALSE)/($F48*8760)+G$1/1000)*HLOOKUP(Results!$B$2,Inputs!$B$2:'Inputs'!$L$9,4,FALSE) - PMT(HLOOKUP(Results!$B$2,Inputs!$B$2:'Inputs'!$L$9,6,FALSE),HLOOKUP(Results!$B$2,Inputs!$B$2:'Inputs'!$L$9,5,FALSE),PV(HLOOKUP(Results!$B$2,Inputs!$B$2:'Inputs'!$L$9,6,FALSE),10,Inputs!$B$22)))/(1-Inputs!$B$23)</f>
        <v>1.2152306907706492</v>
      </c>
      <c r="H48" s="20">
        <f>((HLOOKUP(Results!$B$2,Inputs!$B$2:$L$11,10,FALSE)/($F48*8760)+H$1/1000)*HLOOKUP(Results!$B$2,Inputs!$B$2:'Inputs'!$L$9,4,FALSE) - PMT(HLOOKUP(Results!$B$2,Inputs!$B$2:'Inputs'!$L$9,6,FALSE),HLOOKUP(Results!$B$2,Inputs!$B$2:'Inputs'!$L$9,5,FALSE),PV(HLOOKUP(Results!$B$2,Inputs!$B$2:'Inputs'!$L$9,6,FALSE),10,Inputs!$B$22)))/(1-Inputs!$B$23)</f>
        <v>0.71523069077064916</v>
      </c>
      <c r="I48" s="20">
        <f>((HLOOKUP(Results!$B$2,Inputs!$B$2:$L$11,10,FALSE)/($F48*8760)+I$1/1000)*HLOOKUP(Results!$B$2,Inputs!$B$2:'Inputs'!$L$9,4,FALSE) - PMT(HLOOKUP(Results!$B$2,Inputs!$B$2:'Inputs'!$L$9,6,FALSE),HLOOKUP(Results!$B$2,Inputs!$B$2:'Inputs'!$L$9,5,FALSE),PV(HLOOKUP(Results!$B$2,Inputs!$B$2:'Inputs'!$L$9,6,FALSE),10,Inputs!$B$22)))/(1-Inputs!$B$23)</f>
        <v>0.2152306907706496</v>
      </c>
      <c r="J48" s="20">
        <f>((HLOOKUP(Results!$B$2,Inputs!$B$2:$L$11,10,FALSE)/($F48*8760)+J$1/1000)*HLOOKUP(Results!$B$2,Inputs!$B$2:'Inputs'!$L$9,4,FALSE) - PMT(HLOOKUP(Results!$B$2,Inputs!$B$2:'Inputs'!$L$9,6,FALSE),HLOOKUP(Results!$B$2,Inputs!$B$2:'Inputs'!$L$9,5,FALSE),PV(HLOOKUP(Results!$B$2,Inputs!$B$2:'Inputs'!$L$9,6,FALSE),10,Inputs!$B$22)))/(1-Inputs!$B$23)</f>
        <v>-0.28476930922935084</v>
      </c>
      <c r="K48" s="20">
        <f>((HLOOKUP(Results!$B$2,Inputs!$B$2:$L$11,10,FALSE)/($F48*8760)+K$1/1000)*HLOOKUP(Results!$B$2,Inputs!$B$2:'Inputs'!$L$9,4,FALSE) - PMT(HLOOKUP(Results!$B$2,Inputs!$B$2:'Inputs'!$L$9,6,FALSE),HLOOKUP(Results!$B$2,Inputs!$B$2:'Inputs'!$L$9,5,FALSE),PV(HLOOKUP(Results!$B$2,Inputs!$B$2:'Inputs'!$L$9,6,FALSE),10,Inputs!$B$22)))/(1-Inputs!$B$23)</f>
        <v>-0.78476930922935084</v>
      </c>
      <c r="L48" s="20">
        <f>((HLOOKUP(Results!$B$2,Inputs!$B$2:$L$11,10,FALSE)/($F48*8760)+L$1/1000)*HLOOKUP(Results!$B$2,Inputs!$B$2:'Inputs'!$L$9,4,FALSE) - PMT(HLOOKUP(Results!$B$2,Inputs!$B$2:'Inputs'!$L$9,6,FALSE),HLOOKUP(Results!$B$2,Inputs!$B$2:'Inputs'!$L$9,5,FALSE),PV(HLOOKUP(Results!$B$2,Inputs!$B$2:'Inputs'!$L$9,6,FALSE),10,Inputs!$B$22)))/(1-Inputs!$B$23)</f>
        <v>-1.2847693092293508</v>
      </c>
      <c r="M48" s="20">
        <f>((HLOOKUP(Results!$B$2,Inputs!$B$2:$L$11,10,FALSE)/($F48*8760)+M$1/1000)*HLOOKUP(Results!$B$2,Inputs!$B$2:'Inputs'!$L$9,4,FALSE) - PMT(HLOOKUP(Results!$B$2,Inputs!$B$2:'Inputs'!$L$9,6,FALSE),HLOOKUP(Results!$B$2,Inputs!$B$2:'Inputs'!$L$9,5,FALSE),PV(HLOOKUP(Results!$B$2,Inputs!$B$2:'Inputs'!$L$9,6,FALSE),10,Inputs!$B$22)))/(1-Inputs!$B$23)</f>
        <v>-1.7847693092293508</v>
      </c>
    </row>
    <row r="49" spans="6:13" x14ac:dyDescent="0.35">
      <c r="F49">
        <v>0.96</v>
      </c>
      <c r="G49" s="20">
        <f>((HLOOKUP(Results!$B$2,Inputs!$B$2:$L$11,10,FALSE)/($F49*8760)+G$1/1000)*HLOOKUP(Results!$B$2,Inputs!$B$2:'Inputs'!$L$9,4,FALSE) - PMT(HLOOKUP(Results!$B$2,Inputs!$B$2:'Inputs'!$L$9,6,FALSE),HLOOKUP(Results!$B$2,Inputs!$B$2:'Inputs'!$L$9,5,FALSE),PV(HLOOKUP(Results!$B$2,Inputs!$B$2:'Inputs'!$L$9,6,FALSE),10,Inputs!$B$22)))/(1-Inputs!$B$23)</f>
        <v>1.1899133847129266</v>
      </c>
      <c r="H49" s="20">
        <f>((HLOOKUP(Results!$B$2,Inputs!$B$2:$L$11,10,FALSE)/($F49*8760)+H$1/1000)*HLOOKUP(Results!$B$2,Inputs!$B$2:'Inputs'!$L$9,4,FALSE) - PMT(HLOOKUP(Results!$B$2,Inputs!$B$2:'Inputs'!$L$9,6,FALSE),HLOOKUP(Results!$B$2,Inputs!$B$2:'Inputs'!$L$9,5,FALSE),PV(HLOOKUP(Results!$B$2,Inputs!$B$2:'Inputs'!$L$9,6,FALSE),10,Inputs!$B$22)))/(1-Inputs!$B$23)</f>
        <v>0.68991338471292707</v>
      </c>
      <c r="I49" s="20">
        <f>((HLOOKUP(Results!$B$2,Inputs!$B$2:$L$11,10,FALSE)/($F49*8760)+I$1/1000)*HLOOKUP(Results!$B$2,Inputs!$B$2:'Inputs'!$L$9,4,FALSE) - PMT(HLOOKUP(Results!$B$2,Inputs!$B$2:'Inputs'!$L$9,6,FALSE),HLOOKUP(Results!$B$2,Inputs!$B$2:'Inputs'!$L$9,5,FALSE),PV(HLOOKUP(Results!$B$2,Inputs!$B$2:'Inputs'!$L$9,6,FALSE),10,Inputs!$B$22)))/(1-Inputs!$B$23)</f>
        <v>0.18991338471292663</v>
      </c>
      <c r="J49" s="20">
        <f>((HLOOKUP(Results!$B$2,Inputs!$B$2:$L$11,10,FALSE)/($F49*8760)+J$1/1000)*HLOOKUP(Results!$B$2,Inputs!$B$2:'Inputs'!$L$9,4,FALSE) - PMT(HLOOKUP(Results!$B$2,Inputs!$B$2:'Inputs'!$L$9,6,FALSE),HLOOKUP(Results!$B$2,Inputs!$B$2:'Inputs'!$L$9,5,FALSE),PV(HLOOKUP(Results!$B$2,Inputs!$B$2:'Inputs'!$L$9,6,FALSE),10,Inputs!$B$22)))/(1-Inputs!$B$23)</f>
        <v>-0.31008661528707293</v>
      </c>
      <c r="K49" s="20">
        <f>((HLOOKUP(Results!$B$2,Inputs!$B$2:$L$11,10,FALSE)/($F49*8760)+K$1/1000)*HLOOKUP(Results!$B$2,Inputs!$B$2:'Inputs'!$L$9,4,FALSE) - PMT(HLOOKUP(Results!$B$2,Inputs!$B$2:'Inputs'!$L$9,6,FALSE),HLOOKUP(Results!$B$2,Inputs!$B$2:'Inputs'!$L$9,5,FALSE),PV(HLOOKUP(Results!$B$2,Inputs!$B$2:'Inputs'!$L$9,6,FALSE),10,Inputs!$B$22)))/(1-Inputs!$B$23)</f>
        <v>-0.81008661528707293</v>
      </c>
      <c r="L49" s="20">
        <f>((HLOOKUP(Results!$B$2,Inputs!$B$2:$L$11,10,FALSE)/($F49*8760)+L$1/1000)*HLOOKUP(Results!$B$2,Inputs!$B$2:'Inputs'!$L$9,4,FALSE) - PMT(HLOOKUP(Results!$B$2,Inputs!$B$2:'Inputs'!$L$9,6,FALSE),HLOOKUP(Results!$B$2,Inputs!$B$2:'Inputs'!$L$9,5,FALSE),PV(HLOOKUP(Results!$B$2,Inputs!$B$2:'Inputs'!$L$9,6,FALSE),10,Inputs!$B$22)))/(1-Inputs!$B$23)</f>
        <v>-1.3100866152870732</v>
      </c>
      <c r="M49" s="20">
        <f>((HLOOKUP(Results!$B$2,Inputs!$B$2:$L$11,10,FALSE)/($F49*8760)+M$1/1000)*HLOOKUP(Results!$B$2,Inputs!$B$2:'Inputs'!$L$9,4,FALSE) - PMT(HLOOKUP(Results!$B$2,Inputs!$B$2:'Inputs'!$L$9,6,FALSE),HLOOKUP(Results!$B$2,Inputs!$B$2:'Inputs'!$L$9,5,FALSE),PV(HLOOKUP(Results!$B$2,Inputs!$B$2:'Inputs'!$L$9,6,FALSE),10,Inputs!$B$22)))/(1-Inputs!$B$23)</f>
        <v>-1.8100866152870732</v>
      </c>
    </row>
    <row r="50" spans="6:13" x14ac:dyDescent="0.35">
      <c r="F50">
        <v>0.98</v>
      </c>
      <c r="G50" s="20">
        <f>((HLOOKUP(Results!$B$2,Inputs!$B$2:$L$11,10,FALSE)/($F50*8760)+G$1/1000)*HLOOKUP(Results!$B$2,Inputs!$B$2:'Inputs'!$L$9,4,FALSE) - PMT(HLOOKUP(Results!$B$2,Inputs!$B$2:'Inputs'!$L$9,6,FALSE),HLOOKUP(Results!$B$2,Inputs!$B$2:'Inputs'!$L$9,5,FALSE),PV(HLOOKUP(Results!$B$2,Inputs!$B$2:'Inputs'!$L$9,6,FALSE),10,Inputs!$B$22)))/(1-Inputs!$B$23)</f>
        <v>1.1656294380861332</v>
      </c>
      <c r="H50" s="20">
        <f>((HLOOKUP(Results!$B$2,Inputs!$B$2:$L$11,10,FALSE)/($F50*8760)+H$1/1000)*HLOOKUP(Results!$B$2,Inputs!$B$2:'Inputs'!$L$9,4,FALSE) - PMT(HLOOKUP(Results!$B$2,Inputs!$B$2:'Inputs'!$L$9,6,FALSE),HLOOKUP(Results!$B$2,Inputs!$B$2:'Inputs'!$L$9,5,FALSE),PV(HLOOKUP(Results!$B$2,Inputs!$B$2:'Inputs'!$L$9,6,FALSE),10,Inputs!$B$22)))/(1-Inputs!$B$23)</f>
        <v>0.66562943808613317</v>
      </c>
      <c r="I50" s="20">
        <f>((HLOOKUP(Results!$B$2,Inputs!$B$2:$L$11,10,FALSE)/($F50*8760)+I$1/1000)*HLOOKUP(Results!$B$2,Inputs!$B$2:'Inputs'!$L$9,4,FALSE) - PMT(HLOOKUP(Results!$B$2,Inputs!$B$2:'Inputs'!$L$9,6,FALSE),HLOOKUP(Results!$B$2,Inputs!$B$2:'Inputs'!$L$9,5,FALSE),PV(HLOOKUP(Results!$B$2,Inputs!$B$2:'Inputs'!$L$9,6,FALSE),10,Inputs!$B$22)))/(1-Inputs!$B$23)</f>
        <v>0.16562943808613273</v>
      </c>
      <c r="J50" s="20">
        <f>((HLOOKUP(Results!$B$2,Inputs!$B$2:$L$11,10,FALSE)/($F50*8760)+J$1/1000)*HLOOKUP(Results!$B$2,Inputs!$B$2:'Inputs'!$L$9,4,FALSE) - PMT(HLOOKUP(Results!$B$2,Inputs!$B$2:'Inputs'!$L$9,6,FALSE),HLOOKUP(Results!$B$2,Inputs!$B$2:'Inputs'!$L$9,5,FALSE),PV(HLOOKUP(Results!$B$2,Inputs!$B$2:'Inputs'!$L$9,6,FALSE),10,Inputs!$B$22)))/(1-Inputs!$B$23)</f>
        <v>-0.33437056191386727</v>
      </c>
      <c r="K50" s="20">
        <f>((HLOOKUP(Results!$B$2,Inputs!$B$2:$L$11,10,FALSE)/($F50*8760)+K$1/1000)*HLOOKUP(Results!$B$2,Inputs!$B$2:'Inputs'!$L$9,4,FALSE) - PMT(HLOOKUP(Results!$B$2,Inputs!$B$2:'Inputs'!$L$9,6,FALSE),HLOOKUP(Results!$B$2,Inputs!$B$2:'Inputs'!$L$9,5,FALSE),PV(HLOOKUP(Results!$B$2,Inputs!$B$2:'Inputs'!$L$9,6,FALSE),10,Inputs!$B$22)))/(1-Inputs!$B$23)</f>
        <v>-0.83437056191386727</v>
      </c>
      <c r="L50" s="20">
        <f>((HLOOKUP(Results!$B$2,Inputs!$B$2:$L$11,10,FALSE)/($F50*8760)+L$1/1000)*HLOOKUP(Results!$B$2,Inputs!$B$2:'Inputs'!$L$9,4,FALSE) - PMT(HLOOKUP(Results!$B$2,Inputs!$B$2:'Inputs'!$L$9,6,FALSE),HLOOKUP(Results!$B$2,Inputs!$B$2:'Inputs'!$L$9,5,FALSE),PV(HLOOKUP(Results!$B$2,Inputs!$B$2:'Inputs'!$L$9,6,FALSE),10,Inputs!$B$22)))/(1-Inputs!$B$23)</f>
        <v>-1.3343705619138673</v>
      </c>
      <c r="M50" s="20">
        <f>((HLOOKUP(Results!$B$2,Inputs!$B$2:$L$11,10,FALSE)/($F50*8760)+M$1/1000)*HLOOKUP(Results!$B$2,Inputs!$B$2:'Inputs'!$L$9,4,FALSE) - PMT(HLOOKUP(Results!$B$2,Inputs!$B$2:'Inputs'!$L$9,6,FALSE),HLOOKUP(Results!$B$2,Inputs!$B$2:'Inputs'!$L$9,5,FALSE),PV(HLOOKUP(Results!$B$2,Inputs!$B$2:'Inputs'!$L$9,6,FALSE),10,Inputs!$B$22)))/(1-Inputs!$B$23)</f>
        <v>-1.8343705619138673</v>
      </c>
    </row>
    <row r="51" spans="6:13" x14ac:dyDescent="0.35">
      <c r="F51">
        <v>1</v>
      </c>
      <c r="G51" s="20">
        <f>((HLOOKUP(Results!$B$2,Inputs!$B$2:$L$11,10,FALSE)/($F51*8760)+G$1/1000)*HLOOKUP(Results!$B$2,Inputs!$B$2:'Inputs'!$L$9,4,FALSE) - PMT(HLOOKUP(Results!$B$2,Inputs!$B$2:'Inputs'!$L$9,6,FALSE),HLOOKUP(Results!$B$2,Inputs!$B$2:'Inputs'!$L$9,5,FALSE),PV(HLOOKUP(Results!$B$2,Inputs!$B$2:'Inputs'!$L$9,6,FALSE),10,Inputs!$B$22)))/(1-Inputs!$B$23)</f>
        <v>1.1423168493244096</v>
      </c>
      <c r="H51" s="20">
        <f>((HLOOKUP(Results!$B$2,Inputs!$B$2:$L$11,10,FALSE)/($F51*8760)+H$1/1000)*HLOOKUP(Results!$B$2,Inputs!$B$2:'Inputs'!$L$9,4,FALSE) - PMT(HLOOKUP(Results!$B$2,Inputs!$B$2:'Inputs'!$L$9,6,FALSE),HLOOKUP(Results!$B$2,Inputs!$B$2:'Inputs'!$L$9,5,FALSE),PV(HLOOKUP(Results!$B$2,Inputs!$B$2:'Inputs'!$L$9,6,FALSE),10,Inputs!$B$22)))/(1-Inputs!$B$23)</f>
        <v>0.64231684932441002</v>
      </c>
      <c r="I51" s="20">
        <f>((HLOOKUP(Results!$B$2,Inputs!$B$2:$L$11,10,FALSE)/($F51*8760)+I$1/1000)*HLOOKUP(Results!$B$2,Inputs!$B$2:'Inputs'!$L$9,4,FALSE) - PMT(HLOOKUP(Results!$B$2,Inputs!$B$2:'Inputs'!$L$9,6,FALSE),HLOOKUP(Results!$B$2,Inputs!$B$2:'Inputs'!$L$9,5,FALSE),PV(HLOOKUP(Results!$B$2,Inputs!$B$2:'Inputs'!$L$9,6,FALSE),10,Inputs!$B$22)))/(1-Inputs!$B$23)</f>
        <v>0.14231684932441002</v>
      </c>
      <c r="J51" s="20">
        <f>((HLOOKUP(Results!$B$2,Inputs!$B$2:$L$11,10,FALSE)/($F51*8760)+J$1/1000)*HLOOKUP(Results!$B$2,Inputs!$B$2:'Inputs'!$L$9,4,FALSE) - PMT(HLOOKUP(Results!$B$2,Inputs!$B$2:'Inputs'!$L$9,6,FALSE),HLOOKUP(Results!$B$2,Inputs!$B$2:'Inputs'!$L$9,5,FALSE),PV(HLOOKUP(Results!$B$2,Inputs!$B$2:'Inputs'!$L$9,6,FALSE),10,Inputs!$B$22)))/(1-Inputs!$B$23)</f>
        <v>-0.35768315067559042</v>
      </c>
      <c r="K51" s="20">
        <f>((HLOOKUP(Results!$B$2,Inputs!$B$2:$L$11,10,FALSE)/($F51*8760)+K$1/1000)*HLOOKUP(Results!$B$2,Inputs!$B$2:'Inputs'!$L$9,4,FALSE) - PMT(HLOOKUP(Results!$B$2,Inputs!$B$2:'Inputs'!$L$9,6,FALSE),HLOOKUP(Results!$B$2,Inputs!$B$2:'Inputs'!$L$9,5,FALSE),PV(HLOOKUP(Results!$B$2,Inputs!$B$2:'Inputs'!$L$9,6,FALSE),10,Inputs!$B$22)))/(1-Inputs!$B$23)</f>
        <v>-0.85768315067558998</v>
      </c>
      <c r="L51" s="20">
        <f>((HLOOKUP(Results!$B$2,Inputs!$B$2:$L$11,10,FALSE)/($F51*8760)+L$1/1000)*HLOOKUP(Results!$B$2,Inputs!$B$2:'Inputs'!$L$9,4,FALSE) - PMT(HLOOKUP(Results!$B$2,Inputs!$B$2:'Inputs'!$L$9,6,FALSE),HLOOKUP(Results!$B$2,Inputs!$B$2:'Inputs'!$L$9,5,FALSE),PV(HLOOKUP(Results!$B$2,Inputs!$B$2:'Inputs'!$L$9,6,FALSE),10,Inputs!$B$22)))/(1-Inputs!$B$23)</f>
        <v>-1.35768315067559</v>
      </c>
      <c r="M51" s="20">
        <f>((HLOOKUP(Results!$B$2,Inputs!$B$2:$L$11,10,FALSE)/($F51*8760)+M$1/1000)*HLOOKUP(Results!$B$2,Inputs!$B$2:'Inputs'!$L$9,4,FALSE) - PMT(HLOOKUP(Results!$B$2,Inputs!$B$2:'Inputs'!$L$9,6,FALSE),HLOOKUP(Results!$B$2,Inputs!$B$2:'Inputs'!$L$9,5,FALSE),PV(HLOOKUP(Results!$B$2,Inputs!$B$2:'Inputs'!$L$9,6,FALSE),10,Inputs!$B$22)))/(1-Inputs!$B$23)</f>
        <v>-1.85768315067559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Inputs</vt:lpstr>
      <vt:lpstr>Results</vt:lpstr>
      <vt:lpstr>Notes</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2023-05-04T13:01:24Z</dcterms:modified>
</cp:coreProperties>
</file>